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uma\Downloads\"/>
    </mc:Choice>
  </mc:AlternateContent>
  <xr:revisionPtr revIDLastSave="0" documentId="13_ncr:1_{AFF2D914-58B7-46BF-872C-75B0926E57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Сводная Таблица" sheetId="3" r:id="rId1"/>
    <sheet name="Лист1" sheetId="1" r:id="rId2"/>
    <sheet name="Лист2" sheetId="2" r:id="rId3"/>
  </sheets>
  <calcPr calcId="191029"/>
  <pivotCaches>
    <pivotCache cacheId="5" r:id="rId4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<sst xmlns="http://schemas.openxmlformats.org/spreadsheetml/2006/main" count="2053" uniqueCount="538">
  <si>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</si>
  <si>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</si>
  <si>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</si>
  <si>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</si>
  <si>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</si>
  <si>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</si>
  <si>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</si>
  <si>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</si>
  <si>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</si>
  <si>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</si>
  <si>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</si>
  <si>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</si>
  <si>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</si>
  <si>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</si>
  <si>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</si>
  <si>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</si>
  <si>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</si>
  <si>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</si>
  <si>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</si>
  <si>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</si>
  <si>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</si>
  <si>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</si>
  <si>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</si>
  <si>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</si>
  <si>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</si>
  <si>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</si>
  <si>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</si>
  <si>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ДатаТерритория</t>
  </si>
  <si>
    <t>43982Самара</t>
  </si>
  <si>
    <t>43981Самара</t>
  </si>
  <si>
    <t>43979Самара</t>
  </si>
  <si>
    <t>43967Кемерово</t>
  </si>
  <si>
    <t>43970Кемерово</t>
  </si>
  <si>
    <t>43968Кемерово</t>
  </si>
  <si>
    <t>43960Кемерово</t>
  </si>
  <si>
    <t>43955Кемерово</t>
  </si>
  <si>
    <t>43950Кемерово</t>
  </si>
  <si>
    <t>43953Кемерово</t>
  </si>
  <si>
    <t>43977Кемерово</t>
  </si>
  <si>
    <t>43952Кемерово</t>
  </si>
  <si>
    <t>43963Кемерово</t>
  </si>
  <si>
    <t>43972Кемерово</t>
  </si>
  <si>
    <t>43971Кемерово</t>
  </si>
  <si>
    <t>43956Кемерово</t>
  </si>
  <si>
    <t>43949Кемерово</t>
  </si>
  <si>
    <t>43964Кемерово</t>
  </si>
  <si>
    <t>43954Кемерово</t>
  </si>
  <si>
    <t>43957Кемерово</t>
  </si>
  <si>
    <t>43974Кемерово</t>
  </si>
  <si>
    <t>43976Кемерово</t>
  </si>
  <si>
    <t>43951Кемерово</t>
  </si>
  <si>
    <t>43961Кемерово</t>
  </si>
  <si>
    <t>43959Кемерово</t>
  </si>
  <si>
    <t>43958Кемерово</t>
  </si>
  <si>
    <t>43975Кемерово</t>
  </si>
  <si>
    <t>43982Кемерово</t>
  </si>
  <si>
    <t>43981Кемерово</t>
  </si>
  <si>
    <t>43979Кемерово</t>
  </si>
  <si>
    <t>43967Екатеринбург</t>
  </si>
  <si>
    <t>43970Екатеринбург</t>
  </si>
  <si>
    <t>43968Екатеринбург</t>
  </si>
  <si>
    <t>43960Екатеринбург</t>
  </si>
  <si>
    <t>43955Екатеринбург</t>
  </si>
  <si>
    <t>43950Екатеринбург</t>
  </si>
  <si>
    <t>43953Екатеринбург</t>
  </si>
  <si>
    <t>43977Екатеринбург</t>
  </si>
  <si>
    <t>43952Екатеринбург</t>
  </si>
  <si>
    <t>43963Екатеринбург</t>
  </si>
  <si>
    <t>43972Екатеринбург</t>
  </si>
  <si>
    <t>43971Екатеринбург</t>
  </si>
  <si>
    <t>43956Екатеринбург</t>
  </si>
  <si>
    <t>43949Екатеринбург</t>
  </si>
  <si>
    <t>43964Екатеринбург</t>
  </si>
  <si>
    <t>43954Екатеринбург</t>
  </si>
  <si>
    <t>43957Екатеринбург</t>
  </si>
  <si>
    <t>43974Екатеринбург</t>
  </si>
  <si>
    <t>43976Екатеринбург</t>
  </si>
  <si>
    <t>43951Екатеринбург</t>
  </si>
  <si>
    <t>43961Екатеринбург</t>
  </si>
  <si>
    <t>43959Екатеринбург</t>
  </si>
  <si>
    <t>43958Екатеринбург</t>
  </si>
  <si>
    <t>43975Екатеринбург</t>
  </si>
  <si>
    <t>43967Тольятти</t>
  </si>
  <si>
    <t>43970Тольятти</t>
  </si>
  <si>
    <t>43968Тольятти</t>
  </si>
  <si>
    <t>43960Тольятти</t>
  </si>
  <si>
    <t>43955Тольятти</t>
  </si>
  <si>
    <t>43950Тольятти</t>
  </si>
  <si>
    <t>43953Тольятти</t>
  </si>
  <si>
    <t>43977Тольятти</t>
  </si>
  <si>
    <t>43952Тольятти</t>
  </si>
  <si>
    <t>43963Тольятти</t>
  </si>
  <si>
    <t>43972Тольятти</t>
  </si>
  <si>
    <t>43971Тольятти</t>
  </si>
  <si>
    <t>43956Тольятти</t>
  </si>
  <si>
    <t>43949Тольятти</t>
  </si>
  <si>
    <t>43964Тольятти</t>
  </si>
  <si>
    <t>43982Екатеринбург</t>
  </si>
  <si>
    <t>43954Тольятти</t>
  </si>
  <si>
    <t>43981Екатеринбург</t>
  </si>
  <si>
    <t>43957Тольятти</t>
  </si>
  <si>
    <t>43974Тольятти</t>
  </si>
  <si>
    <t>43979Екатеринбург</t>
  </si>
  <si>
    <t>43976Тольятти</t>
  </si>
  <si>
    <t>43951Тольятти</t>
  </si>
  <si>
    <t>43961Тольятти</t>
  </si>
  <si>
    <t>43959Тольятти</t>
  </si>
  <si>
    <t>43958Тольятти</t>
  </si>
  <si>
    <t>43975Тольятти</t>
  </si>
  <si>
    <t>43982Тольятти</t>
  </si>
  <si>
    <t>43981Тольятти</t>
  </si>
  <si>
    <t>43979Тольятти</t>
  </si>
  <si>
    <t>43967Нижний Новгород</t>
  </si>
  <si>
    <t>43970Нижний Новгород</t>
  </si>
  <si>
    <t>43968Нижний Новгород</t>
  </si>
  <si>
    <t>43960Нижний Новгород</t>
  </si>
  <si>
    <t>43955Нижний Новгород</t>
  </si>
  <si>
    <t>43950Нижний Новгород</t>
  </si>
  <si>
    <t>43953Нижний Новгород</t>
  </si>
  <si>
    <t>43977Нижний Новгород</t>
  </si>
  <si>
    <t>43952Нижний Новгород</t>
  </si>
  <si>
    <t>43963Нижний Новгород</t>
  </si>
  <si>
    <t>43972Нижний Новгород</t>
  </si>
  <si>
    <t>43971Нижний Новгород</t>
  </si>
  <si>
    <t>43956Нижний Новгород</t>
  </si>
  <si>
    <t>43949Нижний Новгород</t>
  </si>
  <si>
    <t>43964Нижний Новгород</t>
  </si>
  <si>
    <t>43954Нижний Новгород</t>
  </si>
  <si>
    <t>43957Нижний Новгород</t>
  </si>
  <si>
    <t>43974Нижний Новгород</t>
  </si>
  <si>
    <t>43976Нижний Новгород</t>
  </si>
  <si>
    <t>43951Нижний Новгород</t>
  </si>
  <si>
    <t>43961Нижний Новгород</t>
  </si>
  <si>
    <t>43959Нижний Новгород</t>
  </si>
  <si>
    <t>43958Нижний Новгород</t>
  </si>
  <si>
    <t>43975Нижний Новгород</t>
  </si>
  <si>
    <t>43982Нижний Новгород</t>
  </si>
  <si>
    <t>43981Нижний Новгород</t>
  </si>
  <si>
    <t>43979Нижний Новгород</t>
  </si>
  <si>
    <t>43967Санкт-Петербург Юг</t>
  </si>
  <si>
    <t>43970Санкт-Петербург Юг</t>
  </si>
  <si>
    <t>43968Санкт-Петербург Юг</t>
  </si>
  <si>
    <t>43960Санкт-Петербург Юг</t>
  </si>
  <si>
    <t>43955Санкт-Петербург Юг</t>
  </si>
  <si>
    <t>43950Санкт-Петербург Юг</t>
  </si>
  <si>
    <t>43953Санкт-Петербург Юг</t>
  </si>
  <si>
    <t>43977Санкт-Петербург Юг</t>
  </si>
  <si>
    <t>43952Санкт-Петербург Юг</t>
  </si>
  <si>
    <t>43963Санкт-Петербург Юг</t>
  </si>
  <si>
    <t>43972Санкт-Петербург Юг</t>
  </si>
  <si>
    <t>43971Санкт-Петербург Юг</t>
  </si>
  <si>
    <t>43956Санкт-Петербург Юг</t>
  </si>
  <si>
    <t>43949Санкт-Петербург Юг</t>
  </si>
  <si>
    <t>43964Санкт-Петербург Юг</t>
  </si>
  <si>
    <t>43954Санкт-Петербург Юг</t>
  </si>
  <si>
    <t>43957Санкт-Петербург Юг</t>
  </si>
  <si>
    <t>43974Санкт-Петербург Юг</t>
  </si>
  <si>
    <t>43976Санкт-Петербург Юг</t>
  </si>
  <si>
    <t>43951Санкт-Петербург Юг</t>
  </si>
  <si>
    <t>43961Санкт-Петербург Юг</t>
  </si>
  <si>
    <t>43959Санкт-Петербург Юг</t>
  </si>
  <si>
    <t>43958Санкт-Петербург Юг</t>
  </si>
  <si>
    <t>43975Санкт-Петербург Юг</t>
  </si>
  <si>
    <t>43967Санкт-Петербург Север</t>
  </si>
  <si>
    <t>43970Санкт-Петербург Север</t>
  </si>
  <si>
    <t>43968Санкт-Петербург Север</t>
  </si>
  <si>
    <t>43960Санкт-Петербург Север</t>
  </si>
  <si>
    <t>43955Санкт-Петербург Север</t>
  </si>
  <si>
    <t>43950Санкт-Петербург Север</t>
  </si>
  <si>
    <t>43953Санкт-Петербург Север</t>
  </si>
  <si>
    <t>43977Санкт-Петербург Север</t>
  </si>
  <si>
    <t>43952Санкт-Петербург Север</t>
  </si>
  <si>
    <t>43963Санкт-Петербург Север</t>
  </si>
  <si>
    <t>43972Санкт-Петербург Север</t>
  </si>
  <si>
    <t>43971Санкт-Петербург Север</t>
  </si>
  <si>
    <t>43956Санкт-Петербург Север</t>
  </si>
  <si>
    <t>43949Санкт-Петербург Север</t>
  </si>
  <si>
    <t>43964Санкт-Петербург Север</t>
  </si>
  <si>
    <t>43982Санкт-Петербург Юг</t>
  </si>
  <si>
    <t>43954Санкт-Петербург Север</t>
  </si>
  <si>
    <t>43981Санкт-Петербург Юг</t>
  </si>
  <si>
    <t>43957Санкт-Петербург Север</t>
  </si>
  <si>
    <t>43974Санкт-Петербург Север</t>
  </si>
  <si>
    <t>43979Санкт-Петербург Юг</t>
  </si>
  <si>
    <t>43976Санкт-Петербург Север</t>
  </si>
  <si>
    <t>43951Санкт-Петербург Север</t>
  </si>
  <si>
    <t>43961Санкт-Петербург Север</t>
  </si>
  <si>
    <t>43959Санкт-Петербург Север</t>
  </si>
  <si>
    <t>43958Санкт-Петербург Север</t>
  </si>
  <si>
    <t>43975Санкт-Петербург Север</t>
  </si>
  <si>
    <t>43967Волгоград</t>
  </si>
  <si>
    <t>43970Волгоград</t>
  </si>
  <si>
    <t>43968Волгоград</t>
  </si>
  <si>
    <t>43960Волгоград</t>
  </si>
  <si>
    <t>43955Волгоград</t>
  </si>
  <si>
    <t>43950Волгоград</t>
  </si>
  <si>
    <t>43953Волгоград</t>
  </si>
  <si>
    <t>43977Волгоград</t>
  </si>
  <si>
    <t>43952Волгоград</t>
  </si>
  <si>
    <t>43963Волгоград</t>
  </si>
  <si>
    <t>43972Волгоград</t>
  </si>
  <si>
    <t>43971Волгоград</t>
  </si>
  <si>
    <t>43956Волгоград</t>
  </si>
  <si>
    <t>43949Волгоград</t>
  </si>
  <si>
    <t>43964Волгоград</t>
  </si>
  <si>
    <t>43982Санкт-Петербург Север</t>
  </si>
  <si>
    <t>43954Волгоград</t>
  </si>
  <si>
    <t>43981Санкт-Петербург Север</t>
  </si>
  <si>
    <t>43957Волгоград</t>
  </si>
  <si>
    <t>43974Волгоград</t>
  </si>
  <si>
    <t>43979Санкт-Петербург Север</t>
  </si>
  <si>
    <t>43976Волгоград</t>
  </si>
  <si>
    <t>43951Волгоград</t>
  </si>
  <si>
    <t>43961Волгоград</t>
  </si>
  <si>
    <t>43959Волгоград</t>
  </si>
  <si>
    <t>43958Волгоград</t>
  </si>
  <si>
    <t>43975Волгоград</t>
  </si>
  <si>
    <t>43967Казань</t>
  </si>
  <si>
    <t>43970Казань</t>
  </si>
  <si>
    <t>43968Казань</t>
  </si>
  <si>
    <t>43960Казань</t>
  </si>
  <si>
    <t>43955Казань</t>
  </si>
  <si>
    <t>43950Казань</t>
  </si>
  <si>
    <t>43953Казань</t>
  </si>
  <si>
    <t>43977Казань</t>
  </si>
  <si>
    <t>43952Казань</t>
  </si>
  <si>
    <t>43963Казань</t>
  </si>
  <si>
    <t>43972Казань</t>
  </si>
  <si>
    <t>43971Казань</t>
  </si>
  <si>
    <t>43956Казань</t>
  </si>
  <si>
    <t>43949Казань</t>
  </si>
  <si>
    <t>43964Казань</t>
  </si>
  <si>
    <t>43982Волгоград</t>
  </si>
  <si>
    <t>43954Казань</t>
  </si>
  <si>
    <t>43981Волгоград</t>
  </si>
  <si>
    <t>43957Казань</t>
  </si>
  <si>
    <t>43974Казань</t>
  </si>
  <si>
    <t>43979Волгоград</t>
  </si>
  <si>
    <t>43976Казань</t>
  </si>
  <si>
    <t>43951Казань</t>
  </si>
  <si>
    <t>43961Казань</t>
  </si>
  <si>
    <t>43959Казань</t>
  </si>
  <si>
    <t>43958Казань</t>
  </si>
  <si>
    <t>43975Казань</t>
  </si>
  <si>
    <t>43982Казань</t>
  </si>
  <si>
    <t>43981Казань</t>
  </si>
  <si>
    <t>43979Казань</t>
  </si>
  <si>
    <t>43967Пермь</t>
  </si>
  <si>
    <t>43970Пермь</t>
  </si>
  <si>
    <t>43968Пермь</t>
  </si>
  <si>
    <t>43960Пермь</t>
  </si>
  <si>
    <t>43955Пермь</t>
  </si>
  <si>
    <t>43950Пермь</t>
  </si>
  <si>
    <t>43953Пермь</t>
  </si>
  <si>
    <t>43977Пермь</t>
  </si>
  <si>
    <t>43952Пермь</t>
  </si>
  <si>
    <t>43963Пермь</t>
  </si>
  <si>
    <t>43972Пермь</t>
  </si>
  <si>
    <t>43971Пермь</t>
  </si>
  <si>
    <t>43956Пермь</t>
  </si>
  <si>
    <t>43949Пермь</t>
  </si>
  <si>
    <t>43964Пермь</t>
  </si>
  <si>
    <t>43954Пермь</t>
  </si>
  <si>
    <t>43957Пермь</t>
  </si>
  <si>
    <t>43974Пермь</t>
  </si>
  <si>
    <t>43976Пермь</t>
  </si>
  <si>
    <t>43951Пермь</t>
  </si>
  <si>
    <t>43961Пермь</t>
  </si>
  <si>
    <t>43959Пермь</t>
  </si>
  <si>
    <t>43958Пермь</t>
  </si>
  <si>
    <t>43975Пермь</t>
  </si>
  <si>
    <t>43967Ростов-на-Дону</t>
  </si>
  <si>
    <t>43970Ростов-на-Дону</t>
  </si>
  <si>
    <t>43968Ростов-на-Дону</t>
  </si>
  <si>
    <t>43960Ростов-на-Дону</t>
  </si>
  <si>
    <t>43955Ростов-на-Дону</t>
  </si>
  <si>
    <t>43950Краснодар</t>
  </si>
  <si>
    <t>43953Ростов-на-Дону</t>
  </si>
  <si>
    <t>43977Ростов-на-Дону</t>
  </si>
  <si>
    <t>43952Ростов-на-Дону</t>
  </si>
  <si>
    <t>43963Ростов-на-Дону</t>
  </si>
  <si>
    <t>43972Ростов-на-Дону</t>
  </si>
  <si>
    <t>43971Ростов-на-Дону</t>
  </si>
  <si>
    <t>43956Ростов-на-Дону</t>
  </si>
  <si>
    <t>43949Краснодар</t>
  </si>
  <si>
    <t>43964Ростов-на-Дону</t>
  </si>
  <si>
    <t>43982Пермь</t>
  </si>
  <si>
    <t>43954Ростов-на-Дону</t>
  </si>
  <si>
    <t>43981Пермь</t>
  </si>
  <si>
    <t>43957Ростов-на-Дону</t>
  </si>
  <si>
    <t>43974Ростов-на-Дону</t>
  </si>
  <si>
    <t>43979Пермь</t>
  </si>
  <si>
    <t>43976Ростов-на-Дону</t>
  </si>
  <si>
    <t>43951Ростов-на-Дону</t>
  </si>
  <si>
    <t>43961Ростов-на-Дону</t>
  </si>
  <si>
    <t>43959Ростов-на-Дону</t>
  </si>
  <si>
    <t>43958Ростов-на-Дону</t>
  </si>
  <si>
    <t>43975Ростов-на-Дону</t>
  </si>
  <si>
    <t>43967Краснодар</t>
  </si>
  <si>
    <t>43970Краснодар</t>
  </si>
  <si>
    <t>43968Краснодар</t>
  </si>
  <si>
    <t>43960Краснодар</t>
  </si>
  <si>
    <t>43955Краснодар</t>
  </si>
  <si>
    <t>43953Краснодар</t>
  </si>
  <si>
    <t>43977Краснодар</t>
  </si>
  <si>
    <t>43952Краснодар</t>
  </si>
  <si>
    <t>43963Краснодар</t>
  </si>
  <si>
    <t>43972Краснодар</t>
  </si>
  <si>
    <t>43971Краснодар</t>
  </si>
  <si>
    <t>43956Краснодар</t>
  </si>
  <si>
    <t>43964Краснодар</t>
  </si>
  <si>
    <t>43982Ростов-на-Дону</t>
  </si>
  <si>
    <t>43954Краснодар</t>
  </si>
  <si>
    <t>43981Ростов-на-Дону</t>
  </si>
  <si>
    <t>43957Краснодар</t>
  </si>
  <si>
    <t>43974Краснодар</t>
  </si>
  <si>
    <t>43979Ростов-на-Дону</t>
  </si>
  <si>
    <t>43976Краснодар</t>
  </si>
  <si>
    <t>43951Краснодар</t>
  </si>
  <si>
    <t>43961Краснодар</t>
  </si>
  <si>
    <t>43959Краснодар</t>
  </si>
  <si>
    <t>43958Краснодар</t>
  </si>
  <si>
    <t>43975Краснодар</t>
  </si>
  <si>
    <t>43950Москва Запад</t>
  </si>
  <si>
    <t>43949Москва Запад</t>
  </si>
  <si>
    <t>43982Краснодар</t>
  </si>
  <si>
    <t>43981Краснодар</t>
  </si>
  <si>
    <t>43979Краснодар</t>
  </si>
  <si>
    <t>43967Москва Запад</t>
  </si>
  <si>
    <t>43970Москва Запад</t>
  </si>
  <si>
    <t>43968Москва Запад</t>
  </si>
  <si>
    <t>43960Москва Запад</t>
  </si>
  <si>
    <t>43955Москва Запад</t>
  </si>
  <si>
    <t>43950Москва Восток</t>
  </si>
  <si>
    <t>43953Москва Запад</t>
  </si>
  <si>
    <t>43977Москва Запад</t>
  </si>
  <si>
    <t>43952Москва Запад</t>
  </si>
  <si>
    <t>43963Москва Запад</t>
  </si>
  <si>
    <t>43972Москва Запад</t>
  </si>
  <si>
    <t>43971Москва Запад</t>
  </si>
  <si>
    <t>43956Москва Запад</t>
  </si>
  <si>
    <t>43949Москва Восток</t>
  </si>
  <si>
    <t>43964Москва Запад</t>
  </si>
  <si>
    <t>43954Москва Запад</t>
  </si>
  <si>
    <t>43957Москва Запад</t>
  </si>
  <si>
    <t>43974Москва Запад</t>
  </si>
  <si>
    <t>43976Москва Запад</t>
  </si>
  <si>
    <t>43951Москва Запад</t>
  </si>
  <si>
    <t>43961Москва Запад</t>
  </si>
  <si>
    <t>43959Москва Запад</t>
  </si>
  <si>
    <t>43958Москва Запад</t>
  </si>
  <si>
    <t>43975Москва Запад</t>
  </si>
  <si>
    <t>43967Москва Восток</t>
  </si>
  <si>
    <t>43970Москва Восток</t>
  </si>
  <si>
    <t>43968Москва Восток</t>
  </si>
  <si>
    <t>43960Москва Восток</t>
  </si>
  <si>
    <t>43955Москва Восток</t>
  </si>
  <si>
    <t>43953Москва Восток</t>
  </si>
  <si>
    <t>43977Москва Восток</t>
  </si>
  <si>
    <t>43952Москва Восток</t>
  </si>
  <si>
    <t>43963Москва Восток</t>
  </si>
  <si>
    <t>43972Москва Восток</t>
  </si>
  <si>
    <t>43971Москва Восток</t>
  </si>
  <si>
    <t>43956Москва Восток</t>
  </si>
  <si>
    <t>43964Москва Восток</t>
  </si>
  <si>
    <t>43982Москва Запад</t>
  </si>
  <si>
    <t>43954Москва Восток</t>
  </si>
  <si>
    <t>43981Москва Запад</t>
  </si>
  <si>
    <t>43957Москва Восток</t>
  </si>
  <si>
    <t>43974Москва Восток</t>
  </si>
  <si>
    <t>43979Москва Запад</t>
  </si>
  <si>
    <t>43976Москва Восток</t>
  </si>
  <si>
    <t>43951Москва Восток</t>
  </si>
  <si>
    <t>43961Москва Восток</t>
  </si>
  <si>
    <t>43959Москва Восток</t>
  </si>
  <si>
    <t>43958Москва Восток</t>
  </si>
  <si>
    <t>43975Москва Восток</t>
  </si>
  <si>
    <t>43950Новосибирск</t>
  </si>
  <si>
    <t>43949Новосибирск</t>
  </si>
  <si>
    <t>43982Москва Восток</t>
  </si>
  <si>
    <t>43981Москва Восток</t>
  </si>
  <si>
    <t>43979Москва Восток</t>
  </si>
  <si>
    <t>43967Новосибирск</t>
  </si>
  <si>
    <t>43970Новосибирск</t>
  </si>
  <si>
    <t>43968Новосибирск</t>
  </si>
  <si>
    <t>43960Новосибирск</t>
  </si>
  <si>
    <t>43955Новосибирск</t>
  </si>
  <si>
    <t>43953Новосибирск</t>
  </si>
  <si>
    <t>43977Тюмень</t>
  </si>
  <si>
    <t>43952Новосибирск</t>
  </si>
  <si>
    <t>43963Новосибирск</t>
  </si>
  <si>
    <t>43972Новосибирск</t>
  </si>
  <si>
    <t>43971Новосибирск</t>
  </si>
  <si>
    <t>43956Новосибирск</t>
  </si>
  <si>
    <t>43964Новосибирск</t>
  </si>
  <si>
    <t>43954Новосибирск</t>
  </si>
  <si>
    <t>43957Новосибирск</t>
  </si>
  <si>
    <t>43974Новосибирск</t>
  </si>
  <si>
    <t>43976Новосибирск</t>
  </si>
  <si>
    <t>43951Новосибирск</t>
  </si>
  <si>
    <t>43961Новосибирск</t>
  </si>
  <si>
    <t>43959Новосибирск</t>
  </si>
  <si>
    <t>43958Новосибирск</t>
  </si>
  <si>
    <t>43975Новосибирск</t>
  </si>
  <si>
    <t>43977Новосибирск</t>
  </si>
  <si>
    <t>43983Самара</t>
  </si>
  <si>
    <t>43982Томск</t>
  </si>
  <si>
    <t>43981Тюмень</t>
  </si>
  <si>
    <t>43980Самара</t>
  </si>
  <si>
    <t>43979Тюмень</t>
  </si>
  <si>
    <t>43978Кемерово</t>
  </si>
  <si>
    <t>43973Кемерово</t>
  </si>
  <si>
    <t>43982Уфа</t>
  </si>
  <si>
    <t>43962Кемерово</t>
  </si>
  <si>
    <t>43981Новосибирск</t>
  </si>
  <si>
    <t>43979Новосибирск</t>
  </si>
  <si>
    <t>43969Кемерово</t>
  </si>
  <si>
    <t>43965Кемерово</t>
  </si>
  <si>
    <t>43966Кемерово</t>
  </si>
  <si>
    <t>43983Кемерово</t>
  </si>
  <si>
    <t>43982Тюмень</t>
  </si>
  <si>
    <t>43980Кемерово</t>
  </si>
  <si>
    <t>43978Екатеринбург</t>
  </si>
  <si>
    <t>43973Екатеринбург</t>
  </si>
  <si>
    <t>43983Екатеринбург</t>
  </si>
  <si>
    <t>43982Новосибирск</t>
  </si>
  <si>
    <t>43962Екатеринбург</t>
  </si>
  <si>
    <t>43969Екатеринбург</t>
  </si>
  <si>
    <t>43965Екатеринбург</t>
  </si>
  <si>
    <t>43966Екатеринбург</t>
  </si>
  <si>
    <t>43978Тольятти</t>
  </si>
  <si>
    <t>43973Тольятти</t>
  </si>
  <si>
    <t>43983Тольятти</t>
  </si>
  <si>
    <t>43962Тольятти</t>
  </si>
  <si>
    <t>43980Екатеринбург</t>
  </si>
  <si>
    <t>43969Тольятти</t>
  </si>
  <si>
    <t>43965Тольятти</t>
  </si>
  <si>
    <t>43966Тольятти</t>
  </si>
  <si>
    <t>43980Тольятти</t>
  </si>
  <si>
    <t>43978Нижний Новгород</t>
  </si>
  <si>
    <t>43973Нижний Новгород</t>
  </si>
  <si>
    <t>43983Нижний Новгород</t>
  </si>
  <si>
    <t>43962Нижний Новгород</t>
  </si>
  <si>
    <t>43969Нижний Новгород</t>
  </si>
  <si>
    <t>43965Нижний Новгород</t>
  </si>
  <si>
    <t>43966Нижний Новгород</t>
  </si>
  <si>
    <t>43980Нижний Новгород</t>
  </si>
  <si>
    <t>43978Санкт-Петербург Юг</t>
  </si>
  <si>
    <t>43973Санкт-Петербург Юг</t>
  </si>
  <si>
    <t>43983Санкт-Петербург Юг</t>
  </si>
  <si>
    <t>43962Санкт-Петербург Юг</t>
  </si>
  <si>
    <t>43969Санкт-Петербург Юг</t>
  </si>
  <si>
    <t>43965Санкт-Петербург Юг</t>
  </si>
  <si>
    <t>43966Санкт-Петербург Юг</t>
  </si>
  <si>
    <t>43978Санкт-Петербург Север</t>
  </si>
  <si>
    <t>43973Санкт-Петербург Север</t>
  </si>
  <si>
    <t>43983Санкт-Петербург Север</t>
  </si>
  <si>
    <t>43962Санкт-Петербург Север</t>
  </si>
  <si>
    <t>43980Санкт-Петербург Юг</t>
  </si>
  <si>
    <t>43969Санкт-Петербург Север</t>
  </si>
  <si>
    <t>43965Санкт-Петербург Север</t>
  </si>
  <si>
    <t>43966Санкт-Петербург Север</t>
  </si>
  <si>
    <t>43978Волгоград</t>
  </si>
  <si>
    <t>43973Волгоград</t>
  </si>
  <si>
    <t>43983Волгоград</t>
  </si>
  <si>
    <t>43962Волгоград</t>
  </si>
  <si>
    <t>43980Санкт-Петербург Север</t>
  </si>
  <si>
    <t>43969Волгоград</t>
  </si>
  <si>
    <t>43965Волгоград</t>
  </si>
  <si>
    <t>43966Волгоград</t>
  </si>
  <si>
    <t>43978Казань</t>
  </si>
  <si>
    <t>43973Казань</t>
  </si>
  <si>
    <t>43983Казань</t>
  </si>
  <si>
    <t>43962Казань</t>
  </si>
  <si>
    <t>43980Волгоград</t>
  </si>
  <si>
    <t>43969Казань</t>
  </si>
  <si>
    <t>43965Казань</t>
  </si>
  <si>
    <t>43966Казань</t>
  </si>
  <si>
    <t>43980Казань</t>
  </si>
  <si>
    <t>43978Пермь</t>
  </si>
  <si>
    <t>43973Пермь</t>
  </si>
  <si>
    <t>43983Пермь</t>
  </si>
  <si>
    <t>43962Пермь</t>
  </si>
  <si>
    <t>43969Пермь</t>
  </si>
  <si>
    <t>43965Пермь</t>
  </si>
  <si>
    <t>43966Пермь</t>
  </si>
  <si>
    <t>43978Ростов-на-Дону</t>
  </si>
  <si>
    <t>43973Ростов-на-Дону</t>
  </si>
  <si>
    <t>43983Ростов-на-Дону</t>
  </si>
  <si>
    <t>43962Ростов-на-Дону</t>
  </si>
  <si>
    <t>43980Пермь</t>
  </si>
  <si>
    <t>43969Ростов-на-Дону</t>
  </si>
  <si>
    <t>43965Ростов-на-Дону</t>
  </si>
  <si>
    <t>43966Ростов-на-Дону</t>
  </si>
  <si>
    <t>43978Краснодар</t>
  </si>
  <si>
    <t>43973Краснодар</t>
  </si>
  <si>
    <t>43983Краснодар</t>
  </si>
  <si>
    <t>43962Краснодар</t>
  </si>
  <si>
    <t>43980Ростов-на-Дону</t>
  </si>
  <si>
    <t>43969Краснодар</t>
  </si>
  <si>
    <t>43965Краснодар</t>
  </si>
  <si>
    <t>43966Краснодар</t>
  </si>
  <si>
    <t>43980Краснодар</t>
  </si>
  <si>
    <t>43978Москва Запад</t>
  </si>
  <si>
    <t>43973Москва Запад</t>
  </si>
  <si>
    <t>43983Москва Запад</t>
  </si>
  <si>
    <t>43962Москва Запад</t>
  </si>
  <si>
    <t>43969Москва Запад</t>
  </si>
  <si>
    <t>43965Москва Запад</t>
  </si>
  <si>
    <t>43966Москва Запад</t>
  </si>
  <si>
    <t>43978Москва Восток</t>
  </si>
  <si>
    <t>43973Москва Восток</t>
  </si>
  <si>
    <t>43983Москва Восток</t>
  </si>
  <si>
    <t>43962Москва Восток</t>
  </si>
  <si>
    <t>43980Москва Запад</t>
  </si>
  <si>
    <t>43969Москва Восток</t>
  </si>
  <si>
    <t>43965Москва Восток</t>
  </si>
  <si>
    <t>43966Москва Восток</t>
  </si>
  <si>
    <t>43980Москва Восток</t>
  </si>
  <si>
    <t>43978Тюмень</t>
  </si>
  <si>
    <t>43973Новосибирск</t>
  </si>
  <si>
    <t>43983Томск</t>
  </si>
  <si>
    <t>43962Новосибирск</t>
  </si>
  <si>
    <t>43969Новосибирск</t>
  </si>
  <si>
    <t>43965Новосибирск</t>
  </si>
  <si>
    <t>43966Новосибирск</t>
  </si>
  <si>
    <t>43978Новосибирск</t>
  </si>
  <si>
    <t>43983Уфа</t>
  </si>
  <si>
    <t>43980Тюмень</t>
  </si>
  <si>
    <t>43983Тюмень</t>
  </si>
  <si>
    <t>43980Новосибирск</t>
  </si>
  <si>
    <t>43983Новосибирск</t>
  </si>
  <si>
    <t>Row Labels</t>
  </si>
  <si>
    <t>Grand Total</t>
  </si>
  <si>
    <t>Sum of Товарооборот, руб</t>
  </si>
  <si>
    <t>Sum of Товарооборот на склад</t>
  </si>
  <si>
    <t>Товарооборот (руб)</t>
  </si>
  <si>
    <t>Товарооборот на склад (руб)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</si>
</sst>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 Таблица!PivotTable3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Понедельная динамика товарооборота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412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'Сводная Таблица'!$E$3</c:f>
              <c:strCache>
                <c:ptCount val="1"/>
                <c:pt idx="0">
                  <c:v>Товарооборот (руб)</c:v>
                </c:pt>
              </c:strCache>
            </c:strRef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'Сводная Таблица'!$D$4:$D$10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Таблица'!$E$4:$E$10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9-4BDF-8F03-60BF7D36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36600"/>
        <c:axId val="600343080"/>
      </c:lineChart>
      <c:lineChart>
        <c:grouping val="standard"/>
        <c:varyColors val="0"/>
        <c:ser>
          <c:idx val="1"/>
          <c:order val="1"/>
          <c:tx>
            <c:strRef>
              <c:f>'Сводная Таблица'!$F$3</c:f>
              <c:strCache>
                <c:ptCount val="1"/>
                <c:pt idx="0">
                  <c:v>Товарооборот на склад (руб)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'Сводная Таблица'!$D$4:$D$10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Таблица'!$F$4:$F$10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9-4BDF-8F03-60BF7D36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948072"/>
        <c:axId val="570947712"/>
      </c:lineChart>
      <c:catAx>
        <c:axId val="600336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43080"/>
        <c:crosses val="autoZero"/>
        <c:auto val="1"/>
        <c:lblAlgn val="ctr"/>
        <c:lblOffset val="100"/>
        <c:noMultiLvlLbl val="0"/>
      </c:catAx>
      <c:valAx>
        <c:axId val="60034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36600"/>
        <c:crosses val="autoZero"/>
        <c:crossBetween val="between"/>
      </c:valAx>
      <c:valAx>
        <c:axId val="5709477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48072"/>
        <c:crosses val="max"/>
        <c:crossBetween val="between"/>
      </c:valAx>
      <c:catAx>
        <c:axId val="5709480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4771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119062</xdr:rowOff>
    </xdr:from>
    <xdr:to>
      <xdr:col>7</xdr:col>
      <xdr:colOff>1762125</xdr:colOff>
      <xdr:row>30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43300-4241-E7E3-9072-352375250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i Zhumabek" refreshedDate="46111.941577199075" createdVersion="8" refreshedVersion="8" minRefreshableVersion="3" recordCount="512" xr:uid="{0708A59E-FE6F-4AF6-875F-DF3CC2534B3F}">
  <cacheSource type="worksheet">
    <worksheetSource ref="A1:I1048576" sheet="Лист1"/>
  </cacheSource>
  <cacheFields count="9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 count="505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  <m/>
      </sharedItems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String="0" containsBlank="1" containsNumber="1" minValue="26979.4" maxValue="496419"/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d v="2020-05-31T00:00:00"/>
    <x v="0"/>
    <n v="7944"/>
    <x v="0"/>
    <n v="15"/>
    <n v="441"/>
    <n v="368"/>
    <n v="41598.1"/>
    <x v="0"/>
  </r>
  <r>
    <d v="2020-05-30T00:00:00"/>
    <x v="0"/>
    <n v="10029"/>
    <x v="1"/>
    <n v="15"/>
    <n v="490"/>
    <n v="409"/>
    <n v="52473.4"/>
    <x v="0"/>
  </r>
  <r>
    <d v="2020-05-28T00:00:00"/>
    <x v="0"/>
    <n v="8536.5"/>
    <x v="2"/>
    <n v="15"/>
    <n v="464"/>
    <n v="390"/>
    <n v="42929.599999999999"/>
    <x v="0"/>
  </r>
  <r>
    <d v="2020-05-16T00:00:00"/>
    <x v="1"/>
    <n v="38947.5"/>
    <x v="3"/>
    <n v="21"/>
    <n v="2145"/>
    <n v="1947"/>
    <n v="161709.14285714287"/>
    <x v="1"/>
  </r>
  <r>
    <d v="2020-05-19T00:00:00"/>
    <x v="1"/>
    <n v="31842"/>
    <x v="4"/>
    <n v="21"/>
    <n v="1860"/>
    <n v="1704"/>
    <n v="131957.92857142858"/>
    <x v="2"/>
  </r>
  <r>
    <d v="2020-05-17T00:00:00"/>
    <x v="1"/>
    <n v="32023.5"/>
    <x v="5"/>
    <n v="21"/>
    <n v="1874"/>
    <n v="1705"/>
    <n v="137259.92857142858"/>
    <x v="1"/>
  </r>
  <r>
    <d v="2020-05-09T00:00:00"/>
    <x v="1"/>
    <n v="31147.5"/>
    <x v="6"/>
    <n v="21"/>
    <n v="1735"/>
    <n v="1568"/>
    <n v="134810.42857142858"/>
    <x v="3"/>
  </r>
  <r>
    <d v="2020-05-04T00:00:00"/>
    <x v="1"/>
    <n v="25566"/>
    <x v="7"/>
    <n v="20"/>
    <n v="1519"/>
    <n v="1372"/>
    <n v="118615.5"/>
    <x v="3"/>
  </r>
  <r>
    <d v="2020-04-29T00:00:00"/>
    <x v="1"/>
    <n v="29319"/>
    <x v="8"/>
    <n v="18"/>
    <n v="1684"/>
    <n v="1528"/>
    <n v="145748.91666666666"/>
    <x v="4"/>
  </r>
  <r>
    <d v="2020-05-02T00:00:00"/>
    <x v="1"/>
    <n v="29031"/>
    <x v="9"/>
    <n v="18"/>
    <n v="1708"/>
    <n v="1534"/>
    <n v="150624.83333333334"/>
    <x v="4"/>
  </r>
  <r>
    <d v="2020-05-26T00:00:00"/>
    <x v="1"/>
    <n v="33423"/>
    <x v="10"/>
    <n v="20"/>
    <n v="2044"/>
    <n v="1863"/>
    <n v="148516.5"/>
    <x v="0"/>
  </r>
  <r>
    <d v="2020-05-01T00:00:00"/>
    <x v="1"/>
    <n v="32487"/>
    <x v="11"/>
    <n v="18"/>
    <n v="1826"/>
    <n v="1633"/>
    <n v="168403"/>
    <x v="4"/>
  </r>
  <r>
    <d v="2020-05-12T00:00:00"/>
    <x v="1"/>
    <n v="28219.5"/>
    <x v="12"/>
    <n v="21"/>
    <n v="1656"/>
    <n v="1516"/>
    <n v="123608.5"/>
    <x v="1"/>
  </r>
  <r>
    <d v="2020-05-21T00:00:00"/>
    <x v="1"/>
    <n v="31272"/>
    <x v="13"/>
    <n v="21"/>
    <n v="1787"/>
    <n v="1626"/>
    <n v="130684.85714285714"/>
    <x v="2"/>
  </r>
  <r>
    <d v="2020-05-20T00:00:00"/>
    <x v="1"/>
    <n v="34077"/>
    <x v="14"/>
    <n v="21"/>
    <n v="1921"/>
    <n v="1767"/>
    <n v="139491.92857142858"/>
    <x v="2"/>
  </r>
  <r>
    <d v="2020-05-05T00:00:00"/>
    <x v="1"/>
    <n v="31566"/>
    <x v="15"/>
    <n v="20"/>
    <n v="1773"/>
    <n v="1604"/>
    <n v="145338.15"/>
    <x v="3"/>
  </r>
  <r>
    <d v="2020-04-28T00:00:00"/>
    <x v="1"/>
    <n v="26940"/>
    <x v="16"/>
    <n v="18"/>
    <n v="1539"/>
    <n v="1404"/>
    <n v="133977.08333333334"/>
    <x v="4"/>
  </r>
  <r>
    <d v="2020-05-13T00:00:00"/>
    <x v="1"/>
    <n v="29241"/>
    <x v="17"/>
    <n v="21"/>
    <n v="1698"/>
    <n v="1554"/>
    <n v="125227.71428571429"/>
    <x v="1"/>
  </r>
  <r>
    <d v="2020-05-03T00:00:00"/>
    <x v="1"/>
    <n v="26082"/>
    <x v="18"/>
    <n v="20"/>
    <n v="1520"/>
    <n v="1373"/>
    <n v="121745.7"/>
    <x v="4"/>
  </r>
  <r>
    <d v="2020-05-06T00:00:00"/>
    <x v="1"/>
    <n v="32511"/>
    <x v="19"/>
    <n v="20"/>
    <n v="1784"/>
    <n v="1632"/>
    <n v="146931.15"/>
    <x v="3"/>
  </r>
  <r>
    <d v="2020-05-23T00:00:00"/>
    <x v="1"/>
    <n v="42703.5"/>
    <x v="20"/>
    <n v="21"/>
    <n v="2340"/>
    <n v="2146"/>
    <n v="172796.5"/>
    <x v="2"/>
  </r>
  <r>
    <d v="2020-05-25T00:00:00"/>
    <x v="1"/>
    <n v="35592"/>
    <x v="21"/>
    <n v="20"/>
    <n v="2087"/>
    <n v="1914"/>
    <n v="158829"/>
    <x v="0"/>
  </r>
  <r>
    <d v="2020-04-30T00:00:00"/>
    <x v="1"/>
    <n v="30445.5"/>
    <x v="22"/>
    <n v="19"/>
    <n v="1712"/>
    <n v="1552"/>
    <n v="148273.5"/>
    <x v="4"/>
  </r>
  <r>
    <d v="2020-05-10T00:00:00"/>
    <x v="1"/>
    <n v="36619.5"/>
    <x v="23"/>
    <n v="21"/>
    <n v="2016"/>
    <n v="1846"/>
    <n v="157760.35714285713"/>
    <x v="3"/>
  </r>
  <r>
    <d v="2020-05-08T00:00:00"/>
    <x v="1"/>
    <n v="29409"/>
    <x v="24"/>
    <n v="21"/>
    <n v="1646"/>
    <n v="1492"/>
    <n v="125960"/>
    <x v="3"/>
  </r>
  <r>
    <d v="2020-05-07T00:00:00"/>
    <x v="1"/>
    <n v="27018"/>
    <x v="25"/>
    <n v="21"/>
    <n v="1542"/>
    <n v="1405"/>
    <n v="117724.42857142857"/>
    <x v="3"/>
  </r>
  <r>
    <d v="2020-05-24T00:00:00"/>
    <x v="1"/>
    <n v="34303.5"/>
    <x v="26"/>
    <n v="20"/>
    <n v="1999"/>
    <n v="1829"/>
    <n v="146237.32500000001"/>
    <x v="2"/>
  </r>
  <r>
    <d v="2020-05-31T00:00:00"/>
    <x v="1"/>
    <n v="36999"/>
    <x v="27"/>
    <n v="21"/>
    <n v="2271"/>
    <n v="2085"/>
    <n v="165423.57142857142"/>
    <x v="0"/>
  </r>
  <r>
    <d v="2020-05-30T00:00:00"/>
    <x v="1"/>
    <n v="44001"/>
    <x v="28"/>
    <n v="20"/>
    <n v="2597"/>
    <n v="2376"/>
    <n v="196089.22500000001"/>
    <x v="0"/>
  </r>
  <r>
    <d v="2020-05-28T00:00:00"/>
    <x v="1"/>
    <n v="30982.5"/>
    <x v="29"/>
    <n v="20"/>
    <n v="1886"/>
    <n v="1736"/>
    <n v="141388.65"/>
    <x v="0"/>
  </r>
  <r>
    <d v="2020-05-16T00:00:00"/>
    <x v="2"/>
    <n v="88063.5"/>
    <x v="30"/>
    <n v="31"/>
    <n v="5593"/>
    <n v="5177"/>
    <n v="244637.37096774194"/>
    <x v="1"/>
  </r>
  <r>
    <d v="2020-05-19T00:00:00"/>
    <x v="2"/>
    <n v="84024"/>
    <x v="31"/>
    <n v="31"/>
    <n v="5389"/>
    <n v="5024"/>
    <n v="219855.19354838709"/>
    <x v="2"/>
  </r>
  <r>
    <d v="2020-05-17T00:00:00"/>
    <x v="2"/>
    <n v="78057"/>
    <x v="32"/>
    <n v="31"/>
    <n v="5206"/>
    <n v="4843"/>
    <n v="218546.66129032258"/>
    <x v="1"/>
  </r>
  <r>
    <d v="2020-05-09T00:00:00"/>
    <x v="2"/>
    <n v="69720"/>
    <x v="33"/>
    <n v="31"/>
    <n v="4556"/>
    <n v="4220"/>
    <n v="202094.61290322582"/>
    <x v="3"/>
  </r>
  <r>
    <d v="2020-05-04T00:00:00"/>
    <x v="2"/>
    <n v="72928.5"/>
    <x v="34"/>
    <n v="31"/>
    <n v="4968"/>
    <n v="4596"/>
    <n v="214266.09677419355"/>
    <x v="3"/>
  </r>
  <r>
    <d v="2020-04-29T00:00:00"/>
    <x v="2"/>
    <n v="79527"/>
    <x v="35"/>
    <n v="31"/>
    <n v="5378"/>
    <n v="4985"/>
    <n v="231628.98387096773"/>
    <x v="4"/>
  </r>
  <r>
    <d v="2020-05-02T00:00:00"/>
    <x v="2"/>
    <n v="60463.5"/>
    <x v="36"/>
    <n v="31"/>
    <n v="4157"/>
    <n v="3823"/>
    <n v="179167.5"/>
    <x v="4"/>
  </r>
  <r>
    <d v="2020-05-26T00:00:00"/>
    <x v="2"/>
    <n v="79975.5"/>
    <x v="37"/>
    <n v="31"/>
    <n v="5493"/>
    <n v="5119"/>
    <n v="215369.66129032258"/>
    <x v="0"/>
  </r>
  <r>
    <d v="2020-05-01T00:00:00"/>
    <x v="2"/>
    <n v="97534.5"/>
    <x v="38"/>
    <n v="31"/>
    <n v="6118"/>
    <n v="5564"/>
    <n v="286871.75806451612"/>
    <x v="4"/>
  </r>
  <r>
    <d v="2020-05-12T00:00:00"/>
    <x v="2"/>
    <n v="71520"/>
    <x v="39"/>
    <n v="31"/>
    <n v="4800"/>
    <n v="4470"/>
    <n v="206398.74193548388"/>
    <x v="1"/>
  </r>
  <r>
    <d v="2020-05-21T00:00:00"/>
    <x v="2"/>
    <n v="79485"/>
    <x v="40"/>
    <n v="31"/>
    <n v="5207"/>
    <n v="4868"/>
    <n v="213995.0806451613"/>
    <x v="2"/>
  </r>
  <r>
    <d v="2020-05-20T00:00:00"/>
    <x v="2"/>
    <n v="93313.5"/>
    <x v="41"/>
    <n v="31"/>
    <n v="5698"/>
    <n v="5258"/>
    <n v="233792.75806451612"/>
    <x v="2"/>
  </r>
  <r>
    <d v="2020-05-05T00:00:00"/>
    <x v="2"/>
    <n v="76585.5"/>
    <x v="42"/>
    <n v="31"/>
    <n v="5188"/>
    <n v="4800"/>
    <n v="223268.27419354839"/>
    <x v="3"/>
  </r>
  <r>
    <d v="2020-04-28T00:00:00"/>
    <x v="2"/>
    <n v="81826.5"/>
    <x v="43"/>
    <n v="31"/>
    <n v="5465"/>
    <n v="5096"/>
    <n v="231085.30645161291"/>
    <x v="4"/>
  </r>
  <r>
    <d v="2020-05-13T00:00:00"/>
    <x v="2"/>
    <n v="78846"/>
    <x v="44"/>
    <n v="31"/>
    <n v="5251"/>
    <n v="4853"/>
    <n v="225611.37096774194"/>
    <x v="1"/>
  </r>
  <r>
    <d v="2020-05-03T00:00:00"/>
    <x v="2"/>
    <n v="77263.5"/>
    <x v="45"/>
    <n v="31"/>
    <n v="5155"/>
    <n v="4762"/>
    <n v="226247.4193548387"/>
    <x v="4"/>
  </r>
  <r>
    <d v="2020-05-06T00:00:00"/>
    <x v="2"/>
    <n v="68994"/>
    <x v="46"/>
    <n v="31"/>
    <n v="4709"/>
    <n v="4348"/>
    <n v="198988.93548387097"/>
    <x v="3"/>
  </r>
  <r>
    <d v="2020-05-23T00:00:00"/>
    <x v="2"/>
    <n v="102889.5"/>
    <x v="47"/>
    <n v="31"/>
    <n v="6276"/>
    <n v="5801"/>
    <n v="260940.09677419355"/>
    <x v="2"/>
  </r>
  <r>
    <d v="2020-05-25T00:00:00"/>
    <x v="2"/>
    <n v="76999.5"/>
    <x v="48"/>
    <n v="31"/>
    <n v="5210"/>
    <n v="4841"/>
    <n v="214374.29032258064"/>
    <x v="0"/>
  </r>
  <r>
    <d v="2020-04-30T00:00:00"/>
    <x v="2"/>
    <n v="77565"/>
    <x v="49"/>
    <n v="31"/>
    <n v="5120"/>
    <n v="4737"/>
    <n v="226571.85483870967"/>
    <x v="4"/>
  </r>
  <r>
    <d v="2020-05-10T00:00:00"/>
    <x v="2"/>
    <n v="84132"/>
    <x v="50"/>
    <n v="31"/>
    <n v="5495"/>
    <n v="5093"/>
    <n v="241393.35483870967"/>
    <x v="3"/>
  </r>
  <r>
    <d v="2020-05-08T00:00:00"/>
    <x v="2"/>
    <n v="69544.5"/>
    <x v="51"/>
    <n v="31"/>
    <n v="4635"/>
    <n v="4266"/>
    <n v="203025.04838709679"/>
    <x v="3"/>
  </r>
  <r>
    <d v="2020-05-07T00:00:00"/>
    <x v="2"/>
    <n v="73204.5"/>
    <x v="52"/>
    <n v="31"/>
    <n v="4903"/>
    <n v="4527"/>
    <n v="212641.40322580645"/>
    <x v="3"/>
  </r>
  <r>
    <d v="2020-05-24T00:00:00"/>
    <x v="2"/>
    <n v="76663.5"/>
    <x v="53"/>
    <n v="31"/>
    <n v="5035"/>
    <n v="4683"/>
    <n v="208097.80645161291"/>
    <x v="2"/>
  </r>
  <r>
    <d v="2020-05-16T00:00:00"/>
    <x v="3"/>
    <n v="14265"/>
    <x v="54"/>
    <n v="10"/>
    <n v="760"/>
    <n v="672"/>
    <n v="113050.65"/>
    <x v="1"/>
  </r>
  <r>
    <d v="2020-05-19T00:00:00"/>
    <x v="3"/>
    <n v="11526"/>
    <x v="55"/>
    <n v="10"/>
    <n v="649"/>
    <n v="568"/>
    <n v="93876.45"/>
    <x v="2"/>
  </r>
  <r>
    <d v="2020-05-17T00:00:00"/>
    <x v="3"/>
    <n v="10402.5"/>
    <x v="56"/>
    <n v="10"/>
    <n v="591"/>
    <n v="513"/>
    <n v="84372.75"/>
    <x v="1"/>
  </r>
  <r>
    <d v="2020-05-09T00:00:00"/>
    <x v="3"/>
    <n v="13216.5"/>
    <x v="57"/>
    <n v="10"/>
    <n v="644"/>
    <n v="559"/>
    <n v="104640"/>
    <x v="3"/>
  </r>
  <r>
    <d v="2020-05-04T00:00:00"/>
    <x v="3"/>
    <n v="9130.5"/>
    <x v="58"/>
    <n v="10"/>
    <n v="462"/>
    <n v="396"/>
    <n v="72889.05"/>
    <x v="3"/>
  </r>
  <r>
    <d v="2020-04-29T00:00:00"/>
    <x v="3"/>
    <n v="10840.5"/>
    <x v="59"/>
    <n v="10"/>
    <n v="502"/>
    <n v="433"/>
    <n v="79791.899999999994"/>
    <x v="4"/>
  </r>
  <r>
    <d v="2020-05-02T00:00:00"/>
    <x v="3"/>
    <n v="7866"/>
    <x v="60"/>
    <n v="10"/>
    <n v="416"/>
    <n v="341"/>
    <n v="61788.15"/>
    <x v="4"/>
  </r>
  <r>
    <d v="2020-05-26T00:00:00"/>
    <x v="3"/>
    <n v="11835"/>
    <x v="61"/>
    <n v="10"/>
    <n v="692"/>
    <n v="601"/>
    <n v="98310.9"/>
    <x v="0"/>
  </r>
  <r>
    <d v="2020-05-01T00:00:00"/>
    <x v="3"/>
    <n v="11619"/>
    <x v="62"/>
    <n v="10"/>
    <n v="554"/>
    <n v="472"/>
    <n v="89113.95"/>
    <x v="4"/>
  </r>
  <r>
    <d v="2020-05-12T00:00:00"/>
    <x v="3"/>
    <n v="9328.5"/>
    <x v="63"/>
    <n v="10"/>
    <n v="526"/>
    <n v="448"/>
    <n v="73296.45"/>
    <x v="1"/>
  </r>
  <r>
    <d v="2020-05-21T00:00:00"/>
    <x v="3"/>
    <n v="11250"/>
    <x v="64"/>
    <n v="10"/>
    <n v="677"/>
    <n v="591"/>
    <n v="93552.3"/>
    <x v="2"/>
  </r>
  <r>
    <d v="2020-05-20T00:00:00"/>
    <x v="3"/>
    <n v="13063.5"/>
    <x v="65"/>
    <n v="10"/>
    <n v="745"/>
    <n v="654"/>
    <n v="103724.7"/>
    <x v="2"/>
  </r>
  <r>
    <d v="2020-05-05T00:00:00"/>
    <x v="3"/>
    <n v="10147.5"/>
    <x v="66"/>
    <n v="10"/>
    <n v="511"/>
    <n v="437"/>
    <n v="79332"/>
    <x v="3"/>
  </r>
  <r>
    <d v="2020-04-28T00:00:00"/>
    <x v="3"/>
    <n v="12331.5"/>
    <x v="67"/>
    <n v="10"/>
    <n v="580"/>
    <n v="506"/>
    <n v="86998.35"/>
    <x v="4"/>
  </r>
  <r>
    <d v="2020-05-13T00:00:00"/>
    <x v="3"/>
    <n v="11202"/>
    <x v="68"/>
    <n v="10"/>
    <n v="612"/>
    <n v="530"/>
    <n v="86571.45"/>
    <x v="1"/>
  </r>
  <r>
    <d v="2020-05-31T00:00:00"/>
    <x v="2"/>
    <n v="89149.5"/>
    <x v="69"/>
    <n v="31"/>
    <n v="5760"/>
    <n v="5367"/>
    <n v="242343.43548387097"/>
    <x v="0"/>
  </r>
  <r>
    <d v="2020-05-03T00:00:00"/>
    <x v="3"/>
    <n v="8185.5"/>
    <x v="70"/>
    <n v="10"/>
    <n v="402"/>
    <n v="333"/>
    <n v="63788.1"/>
    <x v="4"/>
  </r>
  <r>
    <d v="2020-05-30T00:00:00"/>
    <x v="2"/>
    <n v="108123"/>
    <x v="71"/>
    <n v="31"/>
    <n v="6735"/>
    <n v="6264"/>
    <n v="295635.72580645164"/>
    <x v="0"/>
  </r>
  <r>
    <d v="2020-05-06T00:00:00"/>
    <x v="3"/>
    <n v="9210"/>
    <x v="72"/>
    <n v="10"/>
    <n v="465"/>
    <n v="390"/>
    <n v="69683.25"/>
    <x v="3"/>
  </r>
  <r>
    <d v="2020-05-23T00:00:00"/>
    <x v="3"/>
    <n v="14773.5"/>
    <x v="73"/>
    <n v="10"/>
    <n v="828"/>
    <n v="734"/>
    <n v="124138.35"/>
    <x v="2"/>
  </r>
  <r>
    <d v="2020-05-28T00:00:00"/>
    <x v="2"/>
    <n v="78141"/>
    <x v="74"/>
    <n v="31"/>
    <n v="5355"/>
    <n v="4969"/>
    <n v="214244.17741935485"/>
    <x v="0"/>
  </r>
  <r>
    <d v="2020-05-25T00:00:00"/>
    <x v="3"/>
    <n v="12280.5"/>
    <x v="75"/>
    <n v="10"/>
    <n v="739"/>
    <n v="642"/>
    <n v="103044"/>
    <x v="0"/>
  </r>
  <r>
    <d v="2020-04-30T00:00:00"/>
    <x v="3"/>
    <n v="8934"/>
    <x v="76"/>
    <n v="10"/>
    <n v="448"/>
    <n v="376"/>
    <n v="71619.600000000006"/>
    <x v="4"/>
  </r>
  <r>
    <d v="2020-05-10T00:00:00"/>
    <x v="3"/>
    <n v="12918"/>
    <x v="77"/>
    <n v="10"/>
    <n v="642"/>
    <n v="556"/>
    <n v="100478.85"/>
    <x v="3"/>
  </r>
  <r>
    <d v="2020-05-08T00:00:00"/>
    <x v="3"/>
    <n v="12528"/>
    <x v="78"/>
    <n v="10"/>
    <n v="638"/>
    <n v="547"/>
    <n v="95970.3"/>
    <x v="3"/>
  </r>
  <r>
    <d v="2020-05-07T00:00:00"/>
    <x v="3"/>
    <n v="11029.5"/>
    <x v="79"/>
    <n v="10"/>
    <n v="563"/>
    <n v="486"/>
    <n v="86375.4"/>
    <x v="3"/>
  </r>
  <r>
    <d v="2020-05-24T00:00:00"/>
    <x v="3"/>
    <n v="9994.5"/>
    <x v="80"/>
    <n v="10"/>
    <n v="639"/>
    <n v="557"/>
    <n v="82898.399999999994"/>
    <x v="2"/>
  </r>
  <r>
    <d v="2020-05-31T00:00:00"/>
    <x v="3"/>
    <n v="12724.5"/>
    <x v="81"/>
    <n v="10"/>
    <n v="749"/>
    <n v="655"/>
    <n v="104551.5"/>
    <x v="0"/>
  </r>
  <r>
    <d v="2020-05-30T00:00:00"/>
    <x v="3"/>
    <n v="14728.5"/>
    <x v="82"/>
    <n v="10"/>
    <n v="865"/>
    <n v="763"/>
    <n v="126048.3"/>
    <x v="0"/>
  </r>
  <r>
    <d v="2020-05-28T00:00:00"/>
    <x v="3"/>
    <n v="13038"/>
    <x v="83"/>
    <n v="10"/>
    <n v="791"/>
    <n v="697"/>
    <n v="111455.25"/>
    <x v="0"/>
  </r>
  <r>
    <d v="2020-05-16T00:00:00"/>
    <x v="4"/>
    <n v="35482.5"/>
    <x v="84"/>
    <n v="19"/>
    <n v="2080"/>
    <n v="1844"/>
    <n v="169606.18421052632"/>
    <x v="1"/>
  </r>
  <r>
    <d v="2020-05-19T00:00:00"/>
    <x v="4"/>
    <n v="32434.5"/>
    <x v="85"/>
    <n v="19"/>
    <n v="1999"/>
    <n v="1799"/>
    <n v="150807.23684210525"/>
    <x v="2"/>
  </r>
  <r>
    <d v="2020-05-17T00:00:00"/>
    <x v="4"/>
    <n v="30486"/>
    <x v="86"/>
    <n v="19"/>
    <n v="1871"/>
    <n v="1660"/>
    <n v="141804.71052631579"/>
    <x v="1"/>
  </r>
  <r>
    <d v="2020-05-09T00:00:00"/>
    <x v="4"/>
    <n v="32079"/>
    <x v="87"/>
    <n v="19"/>
    <n v="1851"/>
    <n v="1635"/>
    <n v="152745.63157894736"/>
    <x v="3"/>
  </r>
  <r>
    <d v="2020-05-04T00:00:00"/>
    <x v="4"/>
    <n v="27072"/>
    <x v="88"/>
    <n v="19"/>
    <n v="1582"/>
    <n v="1403"/>
    <n v="128998.34210526316"/>
    <x v="3"/>
  </r>
  <r>
    <d v="2020-04-29T00:00:00"/>
    <x v="4"/>
    <n v="25917"/>
    <x v="89"/>
    <n v="18"/>
    <n v="1534"/>
    <n v="1369"/>
    <n v="133199.33333333334"/>
    <x v="4"/>
  </r>
  <r>
    <d v="2020-05-02T00:00:00"/>
    <x v="4"/>
    <n v="19461"/>
    <x v="90"/>
    <n v="19"/>
    <n v="1217"/>
    <n v="1048"/>
    <n v="94696.34210526316"/>
    <x v="4"/>
  </r>
  <r>
    <d v="2020-05-26T00:00:00"/>
    <x v="4"/>
    <n v="31407"/>
    <x v="91"/>
    <n v="20"/>
    <n v="2036"/>
    <n v="1790"/>
    <n v="145370.54999999999"/>
    <x v="0"/>
  </r>
  <r>
    <d v="2020-05-01T00:00:00"/>
    <x v="4"/>
    <n v="25792.5"/>
    <x v="92"/>
    <n v="19"/>
    <n v="1497"/>
    <n v="1291"/>
    <n v="124966.10526315789"/>
    <x v="4"/>
  </r>
  <r>
    <d v="2020-05-12T00:00:00"/>
    <x v="4"/>
    <n v="26032.5"/>
    <x v="93"/>
    <n v="19"/>
    <n v="1649"/>
    <n v="1460"/>
    <n v="124759.57894736843"/>
    <x v="1"/>
  </r>
  <r>
    <d v="2020-05-21T00:00:00"/>
    <x v="4"/>
    <n v="31707"/>
    <x v="94"/>
    <n v="19"/>
    <n v="1949"/>
    <n v="1724"/>
    <n v="150167.44736842104"/>
    <x v="2"/>
  </r>
  <r>
    <d v="2020-05-20T00:00:00"/>
    <x v="4"/>
    <n v="29955"/>
    <x v="95"/>
    <n v="19"/>
    <n v="1889"/>
    <n v="1690"/>
    <n v="141696.31578947368"/>
    <x v="2"/>
  </r>
  <r>
    <d v="2020-05-05T00:00:00"/>
    <x v="4"/>
    <n v="22848"/>
    <x v="96"/>
    <n v="19"/>
    <n v="1417"/>
    <n v="1245"/>
    <n v="109468.42105263157"/>
    <x v="3"/>
  </r>
  <r>
    <d v="2020-04-28T00:00:00"/>
    <x v="4"/>
    <n v="23314.5"/>
    <x v="97"/>
    <n v="17"/>
    <n v="1439"/>
    <n v="1265"/>
    <n v="125695.14705882352"/>
    <x v="4"/>
  </r>
  <r>
    <d v="2020-05-13T00:00:00"/>
    <x v="4"/>
    <n v="26464.5"/>
    <x v="98"/>
    <n v="19"/>
    <n v="1625"/>
    <n v="1444"/>
    <n v="124912.5"/>
    <x v="1"/>
  </r>
  <r>
    <d v="2020-05-03T00:00:00"/>
    <x v="4"/>
    <n v="23539.5"/>
    <x v="99"/>
    <n v="19"/>
    <n v="1402"/>
    <n v="1234"/>
    <n v="114226.81578947368"/>
    <x v="4"/>
  </r>
  <r>
    <d v="2020-05-06T00:00:00"/>
    <x v="4"/>
    <n v="24678"/>
    <x v="100"/>
    <n v="19"/>
    <n v="1499"/>
    <n v="1323"/>
    <n v="117501"/>
    <x v="3"/>
  </r>
  <r>
    <d v="2020-05-23T00:00:00"/>
    <x v="4"/>
    <n v="38176.5"/>
    <x v="101"/>
    <n v="20"/>
    <n v="2266"/>
    <n v="1993"/>
    <n v="169268.625"/>
    <x v="2"/>
  </r>
  <r>
    <d v="2020-05-25T00:00:00"/>
    <x v="4"/>
    <n v="30603"/>
    <x v="102"/>
    <n v="20"/>
    <n v="2011"/>
    <n v="1791"/>
    <n v="143286.375"/>
    <x v="0"/>
  </r>
  <r>
    <d v="2020-04-30T00:00:00"/>
    <x v="4"/>
    <n v="24211.5"/>
    <x v="103"/>
    <n v="19"/>
    <n v="1499"/>
    <n v="1322"/>
    <n v="119350.73684210527"/>
    <x v="4"/>
  </r>
  <r>
    <d v="2020-05-10T00:00:00"/>
    <x v="4"/>
    <n v="31399.5"/>
    <x v="104"/>
    <n v="19"/>
    <n v="1848"/>
    <n v="1649"/>
    <n v="150647.28947368421"/>
    <x v="3"/>
  </r>
  <r>
    <d v="2020-05-08T00:00:00"/>
    <x v="4"/>
    <n v="25294.5"/>
    <x v="105"/>
    <n v="19"/>
    <n v="1522"/>
    <n v="1340"/>
    <n v="119550.23684210527"/>
    <x v="3"/>
  </r>
  <r>
    <d v="2020-05-07T00:00:00"/>
    <x v="4"/>
    <n v="25468.5"/>
    <x v="106"/>
    <n v="19"/>
    <n v="1530"/>
    <n v="1338"/>
    <n v="123719.60526315789"/>
    <x v="3"/>
  </r>
  <r>
    <d v="2020-05-24T00:00:00"/>
    <x v="4"/>
    <n v="31854"/>
    <x v="107"/>
    <n v="20"/>
    <n v="2015"/>
    <n v="1803"/>
    <n v="145776.67499999999"/>
    <x v="2"/>
  </r>
  <r>
    <d v="2020-05-31T00:00:00"/>
    <x v="4"/>
    <n v="32359.5"/>
    <x v="108"/>
    <n v="20"/>
    <n v="2060"/>
    <n v="1826"/>
    <n v="149599.95000000001"/>
    <x v="0"/>
  </r>
  <r>
    <d v="2020-05-30T00:00:00"/>
    <x v="4"/>
    <n v="39867"/>
    <x v="109"/>
    <n v="20"/>
    <n v="2451"/>
    <n v="2178"/>
    <n v="182708.32500000001"/>
    <x v="0"/>
  </r>
  <r>
    <d v="2020-05-28T00:00:00"/>
    <x v="4"/>
    <n v="31974"/>
    <x v="110"/>
    <n v="20"/>
    <n v="2088"/>
    <n v="1848"/>
    <n v="150210.67499999999"/>
    <x v="0"/>
  </r>
  <r>
    <d v="2020-05-16T00:00:00"/>
    <x v="5"/>
    <n v="321412.5"/>
    <x v="111"/>
    <n v="129"/>
    <n v="17914"/>
    <n v="16631"/>
    <n v="249890.41860465117"/>
    <x v="1"/>
  </r>
  <r>
    <d v="2020-05-19T00:00:00"/>
    <x v="5"/>
    <n v="276568.5"/>
    <x v="112"/>
    <n v="129"/>
    <n v="16191"/>
    <n v="15102"/>
    <n v="210028.09302325582"/>
    <x v="2"/>
  </r>
  <r>
    <d v="2020-05-17T00:00:00"/>
    <x v="5"/>
    <n v="269029.5"/>
    <x v="113"/>
    <n v="129"/>
    <n v="15744"/>
    <n v="14685"/>
    <n v="206666.12790697673"/>
    <x v="1"/>
  </r>
  <r>
    <d v="2020-05-09T00:00:00"/>
    <x v="5"/>
    <n v="285972"/>
    <x v="114"/>
    <n v="129"/>
    <n v="16420"/>
    <n v="15169"/>
    <n v="230761.23255813954"/>
    <x v="3"/>
  </r>
  <r>
    <d v="2020-05-04T00:00:00"/>
    <x v="5"/>
    <n v="283942.5"/>
    <x v="115"/>
    <n v="129"/>
    <n v="16525"/>
    <n v="15310"/>
    <n v="227580.93023255814"/>
    <x v="3"/>
  </r>
  <r>
    <d v="2020-04-29T00:00:00"/>
    <x v="5"/>
    <n v="298059"/>
    <x v="116"/>
    <n v="128"/>
    <n v="17368"/>
    <n v="16077"/>
    <n v="241166.30859375"/>
    <x v="4"/>
  </r>
  <r>
    <d v="2020-05-02T00:00:00"/>
    <x v="5"/>
    <n v="232903.5"/>
    <x v="117"/>
    <n v="129"/>
    <n v="14009"/>
    <n v="12920"/>
    <n v="188697.8023255814"/>
    <x v="4"/>
  </r>
  <r>
    <d v="2020-05-26T00:00:00"/>
    <x v="5"/>
    <n v="276966"/>
    <x v="118"/>
    <n v="129"/>
    <n v="16459"/>
    <n v="15355"/>
    <n v="216066.80541744188"/>
    <x v="0"/>
  </r>
  <r>
    <d v="2020-05-01T00:00:00"/>
    <x v="5"/>
    <n v="296149.5"/>
    <x v="119"/>
    <n v="129"/>
    <n v="17002"/>
    <n v="15570"/>
    <n v="240723.38372093023"/>
    <x v="4"/>
  </r>
  <r>
    <d v="2020-05-12T00:00:00"/>
    <x v="5"/>
    <n v="281796"/>
    <x v="120"/>
    <n v="129"/>
    <n v="16387"/>
    <n v="15322"/>
    <n v="225135.81395348837"/>
    <x v="1"/>
  </r>
  <r>
    <d v="2020-05-21T00:00:00"/>
    <x v="5"/>
    <n v="288936"/>
    <x v="121"/>
    <n v="129"/>
    <n v="16373"/>
    <n v="15223"/>
    <n v="215913.95348837209"/>
    <x v="2"/>
  </r>
  <r>
    <d v="2020-05-20T00:00:00"/>
    <x v="5"/>
    <n v="300151.5"/>
    <x v="122"/>
    <n v="129"/>
    <n v="17095"/>
    <n v="15919"/>
    <n v="227664.8962593023"/>
    <x v="2"/>
  </r>
  <r>
    <d v="2020-05-05T00:00:00"/>
    <x v="5"/>
    <n v="262734"/>
    <x v="123"/>
    <n v="129"/>
    <n v="15665"/>
    <n v="14501"/>
    <n v="211460.78406976743"/>
    <x v="3"/>
  </r>
  <r>
    <d v="2020-04-28T00:00:00"/>
    <x v="5"/>
    <n v="286002"/>
    <x v="124"/>
    <n v="128"/>
    <n v="16450"/>
    <n v="15320"/>
    <n v="227804.94140625"/>
    <x v="4"/>
  </r>
  <r>
    <d v="2020-05-13T00:00:00"/>
    <x v="5"/>
    <n v="258459"/>
    <x v="125"/>
    <n v="129"/>
    <n v="15304"/>
    <n v="14315"/>
    <n v="205174.05813953487"/>
    <x v="1"/>
  </r>
  <r>
    <d v="2020-05-03T00:00:00"/>
    <x v="5"/>
    <n v="274083"/>
    <x v="126"/>
    <n v="129"/>
    <n v="15778"/>
    <n v="14624"/>
    <n v="220364.34883720931"/>
    <x v="4"/>
  </r>
  <r>
    <d v="2020-05-06T00:00:00"/>
    <x v="5"/>
    <n v="277512"/>
    <x v="127"/>
    <n v="129"/>
    <n v="16376"/>
    <n v="15197"/>
    <n v="223029.53570232558"/>
    <x v="3"/>
  </r>
  <r>
    <d v="2020-05-23T00:00:00"/>
    <x v="5"/>
    <n v="356982"/>
    <x v="128"/>
    <n v="129"/>
    <n v="19856"/>
    <n v="18325"/>
    <n v="272123.46288023255"/>
    <x v="2"/>
  </r>
  <r>
    <d v="2020-05-25T00:00:00"/>
    <x v="5"/>
    <n v="266983.5"/>
    <x v="129"/>
    <n v="129"/>
    <n v="15822"/>
    <n v="14753"/>
    <n v="210588.47674418605"/>
    <x v="0"/>
  </r>
  <r>
    <d v="2020-04-30T00:00:00"/>
    <x v="5"/>
    <n v="311131.5"/>
    <x v="130"/>
    <n v="129"/>
    <n v="18042"/>
    <n v="16631"/>
    <n v="251309.13953488372"/>
    <x v="4"/>
  </r>
  <r>
    <d v="2020-05-10T00:00:00"/>
    <x v="5"/>
    <n v="287206.5"/>
    <x v="131"/>
    <n v="129"/>
    <n v="16437"/>
    <n v="15285"/>
    <n v="228962.6054732558"/>
    <x v="3"/>
  </r>
  <r>
    <d v="2020-05-08T00:00:00"/>
    <x v="5"/>
    <n v="370092"/>
    <x v="132"/>
    <n v="129"/>
    <n v="20452"/>
    <n v="18857"/>
    <n v="295283.38372093026"/>
    <x v="3"/>
  </r>
  <r>
    <d v="2020-05-07T00:00:00"/>
    <x v="5"/>
    <n v="247813.5"/>
    <x v="133"/>
    <n v="129"/>
    <n v="14582"/>
    <n v="13512"/>
    <n v="196319.93023255814"/>
    <x v="3"/>
  </r>
  <r>
    <d v="2020-05-24T00:00:00"/>
    <x v="5"/>
    <n v="287740.5"/>
    <x v="134"/>
    <n v="129"/>
    <n v="16432"/>
    <n v="15345"/>
    <n v="218515.76744186046"/>
    <x v="2"/>
  </r>
  <r>
    <d v="2020-05-16T00:00:00"/>
    <x v="6"/>
    <n v="408810"/>
    <x v="135"/>
    <n v="125"/>
    <n v="22291"/>
    <n v="20635"/>
    <n v="338589.04800000001"/>
    <x v="1"/>
  </r>
  <r>
    <d v="2020-05-19T00:00:00"/>
    <x v="6"/>
    <n v="362536.5"/>
    <x v="136"/>
    <n v="125"/>
    <n v="20771"/>
    <n v="19338"/>
    <n v="296185.94400000002"/>
    <x v="2"/>
  </r>
  <r>
    <d v="2020-05-17T00:00:00"/>
    <x v="6"/>
    <n v="357072"/>
    <x v="137"/>
    <n v="125"/>
    <n v="20079"/>
    <n v="18721"/>
    <n v="294676.53600000002"/>
    <x v="1"/>
  </r>
  <r>
    <d v="2020-05-09T00:00:00"/>
    <x v="6"/>
    <n v="359214"/>
    <x v="138"/>
    <n v="125"/>
    <n v="20132"/>
    <n v="18617"/>
    <n v="309547.41600000003"/>
    <x v="3"/>
  </r>
  <r>
    <d v="2020-05-04T00:00:00"/>
    <x v="6"/>
    <n v="360255"/>
    <x v="139"/>
    <n v="125"/>
    <n v="20495"/>
    <n v="18964"/>
    <n v="307255.63199999998"/>
    <x v="3"/>
  </r>
  <r>
    <d v="2020-04-29T00:00:00"/>
    <x v="6"/>
    <n v="387220.5"/>
    <x v="140"/>
    <n v="125"/>
    <n v="21863"/>
    <n v="20160"/>
    <n v="332475.07199999999"/>
    <x v="4"/>
  </r>
  <r>
    <d v="2020-05-02T00:00:00"/>
    <x v="6"/>
    <n v="296580"/>
    <x v="141"/>
    <n v="125"/>
    <n v="16932"/>
    <n v="15601"/>
    <n v="254749.89600000001"/>
    <x v="4"/>
  </r>
  <r>
    <d v="2020-05-26T00:00:00"/>
    <x v="6"/>
    <n v="369861"/>
    <x v="142"/>
    <n v="124"/>
    <n v="21153"/>
    <n v="19673"/>
    <n v="309402.90725806454"/>
    <x v="0"/>
  </r>
  <r>
    <d v="2020-05-01T00:00:00"/>
    <x v="6"/>
    <n v="372504"/>
    <x v="143"/>
    <n v="125"/>
    <n v="20602"/>
    <n v="18845"/>
    <n v="320617.54800000001"/>
    <x v="4"/>
  </r>
  <r>
    <d v="2020-05-12T00:00:00"/>
    <x v="6"/>
    <n v="373392"/>
    <x v="144"/>
    <n v="125"/>
    <n v="21106"/>
    <n v="19651"/>
    <n v="316628.61599999998"/>
    <x v="1"/>
  </r>
  <r>
    <d v="2020-05-21T00:00:00"/>
    <x v="6"/>
    <n v="378043.5"/>
    <x v="145"/>
    <n v="125"/>
    <n v="20911"/>
    <n v="19358"/>
    <n v="303217.25255999999"/>
    <x v="2"/>
  </r>
  <r>
    <d v="2020-05-20T00:00:00"/>
    <x v="6"/>
    <n v="388668"/>
    <x v="146"/>
    <n v="125"/>
    <n v="21674"/>
    <n v="20155"/>
    <n v="317114.47200000001"/>
    <x v="2"/>
  </r>
  <r>
    <d v="2020-05-05T00:00:00"/>
    <x v="6"/>
    <n v="333792"/>
    <x v="147"/>
    <n v="125"/>
    <n v="18944"/>
    <n v="17541"/>
    <n v="285373.87199999997"/>
    <x v="3"/>
  </r>
  <r>
    <d v="2020-04-28T00:00:00"/>
    <x v="6"/>
    <n v="376060.5"/>
    <x v="148"/>
    <n v="125"/>
    <n v="20914"/>
    <n v="19479"/>
    <n v="319344.228"/>
    <x v="4"/>
  </r>
  <r>
    <d v="2020-05-13T00:00:00"/>
    <x v="6"/>
    <n v="350068.5"/>
    <x v="149"/>
    <n v="125"/>
    <n v="19965"/>
    <n v="18573"/>
    <n v="297576.924"/>
    <x v="1"/>
  </r>
  <r>
    <d v="2020-05-31T00:00:00"/>
    <x v="5"/>
    <n v="294337.5"/>
    <x v="150"/>
    <n v="129"/>
    <n v="17235"/>
    <n v="16052"/>
    <n v="227347.02325581395"/>
    <x v="0"/>
  </r>
  <r>
    <d v="2020-05-03T00:00:00"/>
    <x v="6"/>
    <n v="342666"/>
    <x v="151"/>
    <n v="125"/>
    <n v="18861"/>
    <n v="17420"/>
    <n v="293055.99599999998"/>
    <x v="4"/>
  </r>
  <r>
    <d v="2020-05-30T00:00:00"/>
    <x v="5"/>
    <n v="364882.5"/>
    <x v="152"/>
    <n v="129"/>
    <n v="20243"/>
    <n v="18711"/>
    <n v="276934.0581395349"/>
    <x v="0"/>
  </r>
  <r>
    <d v="2020-05-06T00:00:00"/>
    <x v="6"/>
    <n v="355278"/>
    <x v="153"/>
    <n v="125"/>
    <n v="20218"/>
    <n v="18647"/>
    <n v="304738.75199999998"/>
    <x v="3"/>
  </r>
  <r>
    <d v="2020-05-23T00:00:00"/>
    <x v="6"/>
    <n v="456885"/>
    <x v="154"/>
    <n v="125"/>
    <n v="24574"/>
    <n v="22609"/>
    <n v="371264.64"/>
    <x v="2"/>
  </r>
  <r>
    <d v="2020-05-28T00:00:00"/>
    <x v="5"/>
    <n v="278491.5"/>
    <x v="155"/>
    <n v="129"/>
    <n v="16453"/>
    <n v="15289"/>
    <n v="218224.84302325582"/>
    <x v="0"/>
  </r>
  <r>
    <d v="2020-05-25T00:00:00"/>
    <x v="6"/>
    <n v="349734"/>
    <x v="156"/>
    <n v="124"/>
    <n v="20358"/>
    <n v="18890"/>
    <n v="297447"/>
    <x v="0"/>
  </r>
  <r>
    <d v="2020-04-30T00:00:00"/>
    <x v="6"/>
    <n v="401580"/>
    <x v="157"/>
    <n v="125"/>
    <n v="22368"/>
    <n v="20625"/>
    <n v="344229.87599999999"/>
    <x v="4"/>
  </r>
  <r>
    <d v="2020-05-10T00:00:00"/>
    <x v="6"/>
    <n v="368649"/>
    <x v="158"/>
    <n v="125"/>
    <n v="20368"/>
    <n v="18884"/>
    <n v="312087"/>
    <x v="3"/>
  </r>
  <r>
    <d v="2020-05-08T00:00:00"/>
    <x v="6"/>
    <n v="463530"/>
    <x v="159"/>
    <n v="125"/>
    <n v="24620"/>
    <n v="22641"/>
    <n v="392985.44400000002"/>
    <x v="3"/>
  </r>
  <r>
    <d v="2020-05-07T00:00:00"/>
    <x v="6"/>
    <n v="319110"/>
    <x v="160"/>
    <n v="125"/>
    <n v="18014"/>
    <n v="16675"/>
    <n v="270111.91200000001"/>
    <x v="3"/>
  </r>
  <r>
    <d v="2020-05-24T00:00:00"/>
    <x v="6"/>
    <n v="375744"/>
    <x v="161"/>
    <n v="125"/>
    <n v="21004"/>
    <n v="19556"/>
    <n v="305531.05200000003"/>
    <x v="2"/>
  </r>
  <r>
    <d v="2020-05-16T00:00:00"/>
    <x v="7"/>
    <n v="81331.5"/>
    <x v="162"/>
    <n v="36"/>
    <n v="5286"/>
    <n v="4867"/>
    <n v="184782.75"/>
    <x v="1"/>
  </r>
  <r>
    <d v="2020-05-19T00:00:00"/>
    <x v="7"/>
    <n v="75796.5"/>
    <x v="163"/>
    <n v="36"/>
    <n v="5094"/>
    <n v="4716"/>
    <n v="171485.08333333334"/>
    <x v="2"/>
  </r>
  <r>
    <d v="2020-05-17T00:00:00"/>
    <x v="7"/>
    <n v="72861"/>
    <x v="164"/>
    <n v="36"/>
    <n v="4918"/>
    <n v="4554"/>
    <n v="165355.625"/>
    <x v="1"/>
  </r>
  <r>
    <d v="2020-05-09T00:00:00"/>
    <x v="7"/>
    <n v="83373"/>
    <x v="165"/>
    <n v="36"/>
    <n v="5413"/>
    <n v="4959"/>
    <n v="201484.08333333334"/>
    <x v="3"/>
  </r>
  <r>
    <d v="2020-05-04T00:00:00"/>
    <x v="7"/>
    <n v="64108.5"/>
    <x v="166"/>
    <n v="36"/>
    <n v="4508"/>
    <n v="4149"/>
    <n v="154484.79166666666"/>
    <x v="3"/>
  </r>
  <r>
    <d v="2020-04-29T00:00:00"/>
    <x v="7"/>
    <n v="74707.5"/>
    <x v="167"/>
    <n v="36"/>
    <n v="4937"/>
    <n v="4561"/>
    <n v="179290.5"/>
    <x v="4"/>
  </r>
  <r>
    <d v="2020-05-02T00:00:00"/>
    <x v="7"/>
    <n v="46216.5"/>
    <x v="168"/>
    <n v="36"/>
    <n v="3442"/>
    <n v="3147"/>
    <n v="114395.875"/>
    <x v="4"/>
  </r>
  <r>
    <d v="2020-05-26T00:00:00"/>
    <x v="7"/>
    <n v="67726.5"/>
    <x v="169"/>
    <n v="36"/>
    <n v="4770"/>
    <n v="4424"/>
    <n v="162916.375"/>
    <x v="0"/>
  </r>
  <r>
    <d v="2020-05-01T00:00:00"/>
    <x v="7"/>
    <n v="82228.5"/>
    <x v="170"/>
    <n v="36"/>
    <n v="5457"/>
    <n v="4916"/>
    <n v="195339.58333333334"/>
    <x v="4"/>
  </r>
  <r>
    <d v="2020-05-12T00:00:00"/>
    <x v="7"/>
    <n v="64390.5"/>
    <x v="171"/>
    <n v="36"/>
    <n v="4418"/>
    <n v="4088"/>
    <n v="153420.70833333334"/>
    <x v="1"/>
  </r>
  <r>
    <d v="2020-05-21T00:00:00"/>
    <x v="7"/>
    <n v="73126.5"/>
    <x v="172"/>
    <n v="36"/>
    <n v="4816"/>
    <n v="4452"/>
    <n v="162891.25"/>
    <x v="2"/>
  </r>
  <r>
    <d v="2020-05-20T00:00:00"/>
    <x v="7"/>
    <n v="99631.5"/>
    <x v="173"/>
    <n v="36"/>
    <n v="5914"/>
    <n v="5384"/>
    <n v="197831.83333333334"/>
    <x v="2"/>
  </r>
  <r>
    <d v="2020-05-05T00:00:00"/>
    <x v="7"/>
    <n v="66396"/>
    <x v="174"/>
    <n v="36"/>
    <n v="4575"/>
    <n v="4206"/>
    <n v="160292.75"/>
    <x v="3"/>
  </r>
  <r>
    <d v="2020-04-28T00:00:00"/>
    <x v="7"/>
    <n v="73147.5"/>
    <x v="175"/>
    <n v="36"/>
    <n v="4923"/>
    <n v="4560"/>
    <n v="174673.5"/>
    <x v="4"/>
  </r>
  <r>
    <d v="2020-05-13T00:00:00"/>
    <x v="7"/>
    <n v="73062"/>
    <x v="176"/>
    <n v="36"/>
    <n v="4967"/>
    <n v="4583"/>
    <n v="175939.66666666666"/>
    <x v="1"/>
  </r>
  <r>
    <d v="2020-05-31T00:00:00"/>
    <x v="6"/>
    <n v="379663.5"/>
    <x v="177"/>
    <n v="124"/>
    <n v="21392"/>
    <n v="19869"/>
    <n v="317582.08064516127"/>
    <x v="0"/>
  </r>
  <r>
    <d v="2020-05-03T00:00:00"/>
    <x v="7"/>
    <n v="70581"/>
    <x v="178"/>
    <n v="36"/>
    <n v="4751"/>
    <n v="4370"/>
    <n v="172814.45833333334"/>
    <x v="4"/>
  </r>
  <r>
    <d v="2020-05-30T00:00:00"/>
    <x v="6"/>
    <n v="453123"/>
    <x v="179"/>
    <n v="124"/>
    <n v="24325"/>
    <n v="22469"/>
    <n v="373958.90322580643"/>
    <x v="0"/>
  </r>
  <r>
    <d v="2020-05-06T00:00:00"/>
    <x v="7"/>
    <n v="63012"/>
    <x v="180"/>
    <n v="36"/>
    <n v="4384"/>
    <n v="4025"/>
    <n v="151503.375"/>
    <x v="3"/>
  </r>
  <r>
    <d v="2020-05-23T00:00:00"/>
    <x v="7"/>
    <n v="89556"/>
    <x v="181"/>
    <n v="36"/>
    <n v="5651"/>
    <n v="5212"/>
    <n v="199253.25"/>
    <x v="2"/>
  </r>
  <r>
    <d v="2020-05-28T00:00:00"/>
    <x v="6"/>
    <n v="364638"/>
    <x v="182"/>
    <n v="124"/>
    <n v="20868"/>
    <n v="19342"/>
    <n v="306029.74596774194"/>
    <x v="0"/>
  </r>
  <r>
    <d v="2020-05-25T00:00:00"/>
    <x v="7"/>
    <n v="66316.5"/>
    <x v="183"/>
    <n v="36"/>
    <n v="4641"/>
    <n v="4274"/>
    <n v="158462.5"/>
    <x v="0"/>
  </r>
  <r>
    <d v="2020-04-30T00:00:00"/>
    <x v="7"/>
    <n v="78235.5"/>
    <x v="184"/>
    <n v="36"/>
    <n v="5143"/>
    <n v="4715"/>
    <n v="189433.16666666666"/>
    <x v="4"/>
  </r>
  <r>
    <d v="2020-05-10T00:00:00"/>
    <x v="7"/>
    <n v="88311"/>
    <x v="185"/>
    <n v="36"/>
    <n v="5746"/>
    <n v="5277"/>
    <n v="214613.04166666666"/>
    <x v="3"/>
  </r>
  <r>
    <d v="2020-05-08T00:00:00"/>
    <x v="7"/>
    <n v="61804.5"/>
    <x v="186"/>
    <n v="36"/>
    <n v="4199"/>
    <n v="3867"/>
    <n v="149047.45833333334"/>
    <x v="3"/>
  </r>
  <r>
    <d v="2020-05-07T00:00:00"/>
    <x v="7"/>
    <n v="71067"/>
    <x v="187"/>
    <n v="36"/>
    <n v="4826"/>
    <n v="4426"/>
    <n v="171551.04166666666"/>
    <x v="3"/>
  </r>
  <r>
    <d v="2020-05-24T00:00:00"/>
    <x v="7"/>
    <n v="74649"/>
    <x v="188"/>
    <n v="36"/>
    <n v="4915"/>
    <n v="4562"/>
    <n v="169395.45833333334"/>
    <x v="2"/>
  </r>
  <r>
    <d v="2020-05-16T00:00:00"/>
    <x v="8"/>
    <n v="44560.5"/>
    <x v="189"/>
    <n v="21"/>
    <n v="2427"/>
    <n v="2213"/>
    <n v="191673.71428571429"/>
    <x v="1"/>
  </r>
  <r>
    <d v="2020-05-19T00:00:00"/>
    <x v="8"/>
    <n v="38250"/>
    <x v="190"/>
    <n v="21"/>
    <n v="2245"/>
    <n v="2053"/>
    <n v="169187.5"/>
    <x v="2"/>
  </r>
  <r>
    <d v="2020-05-17T00:00:00"/>
    <x v="8"/>
    <n v="34830"/>
    <x v="191"/>
    <n v="21"/>
    <n v="2054"/>
    <n v="1883"/>
    <n v="151959.78571428571"/>
    <x v="1"/>
  </r>
  <r>
    <d v="2020-05-09T00:00:00"/>
    <x v="8"/>
    <n v="32239.5"/>
    <x v="192"/>
    <n v="21"/>
    <n v="1891"/>
    <n v="1709"/>
    <n v="146899.64285714287"/>
    <x v="3"/>
  </r>
  <r>
    <d v="2020-05-04T00:00:00"/>
    <x v="8"/>
    <n v="30780"/>
    <x v="193"/>
    <n v="20"/>
    <n v="1804"/>
    <n v="1638"/>
    <n v="140892.67499999999"/>
    <x v="3"/>
  </r>
  <r>
    <d v="2020-04-29T00:00:00"/>
    <x v="8"/>
    <n v="29142"/>
    <x v="194"/>
    <n v="19"/>
    <n v="1676"/>
    <n v="1516"/>
    <n v="138294.47368421053"/>
    <x v="4"/>
  </r>
  <r>
    <d v="2020-05-02T00:00:00"/>
    <x v="8"/>
    <n v="26428.5"/>
    <x v="195"/>
    <n v="20"/>
    <n v="1613"/>
    <n v="1457"/>
    <n v="123523.27499999999"/>
    <x v="4"/>
  </r>
  <r>
    <d v="2020-05-26T00:00:00"/>
    <x v="8"/>
    <n v="40744.5"/>
    <x v="196"/>
    <n v="21"/>
    <n v="2418"/>
    <n v="2215"/>
    <n v="176205.28571428571"/>
    <x v="0"/>
  </r>
  <r>
    <d v="2020-05-01T00:00:00"/>
    <x v="8"/>
    <n v="46620"/>
    <x v="197"/>
    <n v="20"/>
    <n v="2468"/>
    <n v="2221"/>
    <n v="214662.07500000001"/>
    <x v="4"/>
  </r>
  <r>
    <d v="2020-05-12T00:00:00"/>
    <x v="8"/>
    <n v="32419.5"/>
    <x v="198"/>
    <n v="21"/>
    <n v="1926"/>
    <n v="1745"/>
    <n v="146695.92857142858"/>
    <x v="1"/>
  </r>
  <r>
    <d v="2020-05-21T00:00:00"/>
    <x v="8"/>
    <n v="40819.5"/>
    <x v="199"/>
    <n v="21"/>
    <n v="2335"/>
    <n v="2126"/>
    <n v="181447.35714285713"/>
    <x v="2"/>
  </r>
  <r>
    <d v="2020-05-20T00:00:00"/>
    <x v="8"/>
    <n v="41391"/>
    <x v="200"/>
    <n v="21"/>
    <n v="2410"/>
    <n v="2202"/>
    <n v="186618.42857142858"/>
    <x v="2"/>
  </r>
  <r>
    <d v="2020-05-05T00:00:00"/>
    <x v="8"/>
    <n v="29482.5"/>
    <x v="201"/>
    <n v="20"/>
    <n v="1757"/>
    <n v="1596"/>
    <n v="132434.4"/>
    <x v="3"/>
  </r>
  <r>
    <d v="2020-04-28T00:00:00"/>
    <x v="8"/>
    <n v="32181"/>
    <x v="202"/>
    <n v="19"/>
    <n v="1846"/>
    <n v="1681"/>
    <n v="150715.81578947368"/>
    <x v="4"/>
  </r>
  <r>
    <d v="2020-05-13T00:00:00"/>
    <x v="8"/>
    <n v="35535"/>
    <x v="203"/>
    <n v="21"/>
    <n v="2061"/>
    <n v="1876"/>
    <n v="156574.71428571429"/>
    <x v="1"/>
  </r>
  <r>
    <d v="2020-05-31T00:00:00"/>
    <x v="7"/>
    <n v="76234.5"/>
    <x v="204"/>
    <n v="37"/>
    <n v="5215"/>
    <n v="4848"/>
    <n v="175698.60810810811"/>
    <x v="0"/>
  </r>
  <r>
    <d v="2020-05-03T00:00:00"/>
    <x v="8"/>
    <n v="29935.5"/>
    <x v="205"/>
    <n v="20"/>
    <n v="1716"/>
    <n v="1561"/>
    <n v="136000.125"/>
    <x v="4"/>
  </r>
  <r>
    <d v="2020-05-30T00:00:00"/>
    <x v="7"/>
    <n v="106926"/>
    <x v="206"/>
    <n v="37"/>
    <n v="6645"/>
    <n v="6122"/>
    <n v="245902.33783783784"/>
    <x v="0"/>
  </r>
  <r>
    <d v="2020-05-06T00:00:00"/>
    <x v="8"/>
    <n v="30342"/>
    <x v="207"/>
    <n v="20"/>
    <n v="1747"/>
    <n v="1570"/>
    <n v="136906.35"/>
    <x v="3"/>
  </r>
  <r>
    <d v="2020-05-23T00:00:00"/>
    <x v="8"/>
    <n v="42999"/>
    <x v="208"/>
    <n v="21"/>
    <n v="2460"/>
    <n v="2226"/>
    <n v="184915"/>
    <x v="2"/>
  </r>
  <r>
    <d v="2020-05-28T00:00:00"/>
    <x v="7"/>
    <n v="69945"/>
    <x v="209"/>
    <n v="37"/>
    <n v="4840"/>
    <n v="4475"/>
    <n v="164917.05405405405"/>
    <x v="0"/>
  </r>
  <r>
    <d v="2020-05-25T00:00:00"/>
    <x v="8"/>
    <n v="38740.5"/>
    <x v="210"/>
    <n v="21"/>
    <n v="2330"/>
    <n v="2142"/>
    <n v="169602.64285714287"/>
    <x v="0"/>
  </r>
  <r>
    <d v="2020-04-30T00:00:00"/>
    <x v="8"/>
    <n v="31231.5"/>
    <x v="211"/>
    <n v="20"/>
    <n v="1756"/>
    <n v="1586"/>
    <n v="142665.52499999999"/>
    <x v="4"/>
  </r>
  <r>
    <d v="2020-05-10T00:00:00"/>
    <x v="8"/>
    <n v="37489.5"/>
    <x v="212"/>
    <n v="21"/>
    <n v="2120"/>
    <n v="1921"/>
    <n v="169004.64285714287"/>
    <x v="3"/>
  </r>
  <r>
    <d v="2020-05-08T00:00:00"/>
    <x v="8"/>
    <n v="34399.5"/>
    <x v="213"/>
    <n v="21"/>
    <n v="1957"/>
    <n v="1755"/>
    <n v="152445.64285714287"/>
    <x v="3"/>
  </r>
  <r>
    <d v="2020-05-07T00:00:00"/>
    <x v="8"/>
    <n v="32851.5"/>
    <x v="214"/>
    <n v="21"/>
    <n v="1879"/>
    <n v="1695"/>
    <n v="139738.28571428571"/>
    <x v="3"/>
  </r>
  <r>
    <d v="2020-05-24T00:00:00"/>
    <x v="8"/>
    <n v="38194.5"/>
    <x v="215"/>
    <n v="21"/>
    <n v="2254"/>
    <n v="2061"/>
    <n v="164252.5"/>
    <x v="2"/>
  </r>
  <r>
    <d v="2020-05-31T00:00:00"/>
    <x v="8"/>
    <n v="42423"/>
    <x v="216"/>
    <n v="23"/>
    <n v="2522"/>
    <n v="2295"/>
    <n v="173658.84782608695"/>
    <x v="0"/>
  </r>
  <r>
    <d v="2020-05-30T00:00:00"/>
    <x v="8"/>
    <n v="48286.5"/>
    <x v="217"/>
    <n v="22"/>
    <n v="2793"/>
    <n v="2539"/>
    <n v="202565.52272727274"/>
    <x v="0"/>
  </r>
  <r>
    <d v="2020-05-28T00:00:00"/>
    <x v="8"/>
    <n v="41442"/>
    <x v="218"/>
    <n v="22"/>
    <n v="2454"/>
    <n v="2239"/>
    <n v="176985.47727272726"/>
    <x v="0"/>
  </r>
  <r>
    <d v="2020-05-16T00:00:00"/>
    <x v="9"/>
    <n v="18600"/>
    <x v="219"/>
    <n v="15"/>
    <n v="1111"/>
    <n v="992"/>
    <n v="106761.7"/>
    <x v="1"/>
  </r>
  <r>
    <d v="2020-05-19T00:00:00"/>
    <x v="9"/>
    <n v="16638"/>
    <x v="220"/>
    <n v="16"/>
    <n v="1012"/>
    <n v="900"/>
    <n v="85302.9375"/>
    <x v="2"/>
  </r>
  <r>
    <d v="2020-05-17T00:00:00"/>
    <x v="9"/>
    <n v="15609"/>
    <x v="221"/>
    <n v="15"/>
    <n v="971"/>
    <n v="856"/>
    <n v="91838.5"/>
    <x v="1"/>
  </r>
  <r>
    <d v="2020-05-09T00:00:00"/>
    <x v="9"/>
    <n v="13948.5"/>
    <x v="222"/>
    <n v="15"/>
    <n v="849"/>
    <n v="740"/>
    <n v="81528.800000000003"/>
    <x v="3"/>
  </r>
  <r>
    <d v="2020-05-04T00:00:00"/>
    <x v="9"/>
    <n v="12301.5"/>
    <x v="223"/>
    <n v="15"/>
    <n v="750"/>
    <n v="647"/>
    <n v="72347.399999999994"/>
    <x v="3"/>
  </r>
  <r>
    <d v="2020-04-29T00:00:00"/>
    <x v="9"/>
    <n v="13014"/>
    <x v="224"/>
    <n v="15"/>
    <n v="786"/>
    <n v="695"/>
    <n v="74399.5"/>
    <x v="4"/>
  </r>
  <r>
    <d v="2020-05-02T00:00:00"/>
    <x v="9"/>
    <n v="12313.5"/>
    <x v="225"/>
    <n v="15"/>
    <n v="751"/>
    <n v="651"/>
    <n v="70214.7"/>
    <x v="4"/>
  </r>
  <r>
    <d v="2020-05-26T00:00:00"/>
    <x v="9"/>
    <n v="17391"/>
    <x v="226"/>
    <n v="17"/>
    <n v="1140"/>
    <n v="1016"/>
    <n v="87596.029411764699"/>
    <x v="0"/>
  </r>
  <r>
    <d v="2020-05-01T00:00:00"/>
    <x v="9"/>
    <n v="17113.5"/>
    <x v="227"/>
    <n v="15"/>
    <n v="996"/>
    <n v="888"/>
    <n v="97722.8"/>
    <x v="4"/>
  </r>
  <r>
    <d v="2020-05-12T00:00:00"/>
    <x v="9"/>
    <n v="12802.5"/>
    <x v="228"/>
    <n v="15"/>
    <n v="845"/>
    <n v="743"/>
    <n v="74922"/>
    <x v="1"/>
  </r>
  <r>
    <d v="2020-05-21T00:00:00"/>
    <x v="9"/>
    <n v="16554"/>
    <x v="229"/>
    <n v="17"/>
    <n v="1045"/>
    <n v="930"/>
    <n v="81220.676470588238"/>
    <x v="2"/>
  </r>
  <r>
    <d v="2020-05-20T00:00:00"/>
    <x v="9"/>
    <n v="17329.5"/>
    <x v="230"/>
    <n v="16"/>
    <n v="1050"/>
    <n v="938"/>
    <n v="89390.90625"/>
    <x v="2"/>
  </r>
  <r>
    <d v="2020-05-05T00:00:00"/>
    <x v="9"/>
    <n v="15987"/>
    <x v="231"/>
    <n v="15"/>
    <n v="922"/>
    <n v="823"/>
    <n v="92278.6"/>
    <x v="3"/>
  </r>
  <r>
    <d v="2020-04-28T00:00:00"/>
    <x v="9"/>
    <n v="13303.5"/>
    <x v="232"/>
    <n v="15"/>
    <n v="780"/>
    <n v="690"/>
    <n v="73525.8"/>
    <x v="4"/>
  </r>
  <r>
    <d v="2020-05-13T00:00:00"/>
    <x v="9"/>
    <n v="14305.5"/>
    <x v="233"/>
    <n v="15"/>
    <n v="898"/>
    <n v="795"/>
    <n v="82900.5"/>
    <x v="1"/>
  </r>
  <r>
    <d v="2020-05-03T00:00:00"/>
    <x v="9"/>
    <n v="12924"/>
    <x v="234"/>
    <n v="15"/>
    <n v="784"/>
    <n v="696"/>
    <n v="74667.3"/>
    <x v="4"/>
  </r>
  <r>
    <d v="2020-05-06T00:00:00"/>
    <x v="9"/>
    <n v="14061"/>
    <x v="235"/>
    <n v="15"/>
    <n v="839"/>
    <n v="733"/>
    <n v="81403.8"/>
    <x v="3"/>
  </r>
  <r>
    <d v="2020-05-23T00:00:00"/>
    <x v="9"/>
    <n v="21958.5"/>
    <x v="236"/>
    <n v="17"/>
    <n v="1294"/>
    <n v="1155"/>
    <n v="109058.91176470589"/>
    <x v="2"/>
  </r>
  <r>
    <d v="2020-05-25T00:00:00"/>
    <x v="9"/>
    <n v="17211"/>
    <x v="237"/>
    <n v="17"/>
    <n v="1142"/>
    <n v="1020"/>
    <n v="88698.088235294112"/>
    <x v="0"/>
  </r>
  <r>
    <d v="2020-04-30T00:00:00"/>
    <x v="9"/>
    <n v="12753"/>
    <x v="238"/>
    <n v="15"/>
    <n v="791"/>
    <n v="691"/>
    <n v="73537.899999999994"/>
    <x v="4"/>
  </r>
  <r>
    <d v="2020-05-10T00:00:00"/>
    <x v="9"/>
    <n v="16435.5"/>
    <x v="239"/>
    <n v="15"/>
    <n v="950"/>
    <n v="848"/>
    <n v="98102.5"/>
    <x v="3"/>
  </r>
  <r>
    <d v="2020-05-08T00:00:00"/>
    <x v="9"/>
    <n v="14494.5"/>
    <x v="240"/>
    <n v="15"/>
    <n v="879"/>
    <n v="768"/>
    <n v="84652.4"/>
    <x v="3"/>
  </r>
  <r>
    <d v="2020-05-07T00:00:00"/>
    <x v="9"/>
    <n v="12705"/>
    <x v="241"/>
    <n v="15"/>
    <n v="805"/>
    <n v="703"/>
    <n v="74926.3"/>
    <x v="3"/>
  </r>
  <r>
    <d v="2020-05-24T00:00:00"/>
    <x v="9"/>
    <n v="18075"/>
    <x v="242"/>
    <n v="17"/>
    <n v="1128"/>
    <n v="1001"/>
    <n v="91064.647058823524"/>
    <x v="2"/>
  </r>
  <r>
    <d v="2020-05-16T00:00:00"/>
    <x v="10"/>
    <n v="13120.5"/>
    <x v="243"/>
    <n v="15"/>
    <n v="747"/>
    <n v="647"/>
    <n v="81002.2"/>
    <x v="1"/>
  </r>
  <r>
    <d v="2020-05-19T00:00:00"/>
    <x v="10"/>
    <n v="16237.5"/>
    <x v="244"/>
    <n v="15"/>
    <n v="930"/>
    <n v="827"/>
    <n v="93536.5"/>
    <x v="2"/>
  </r>
  <r>
    <d v="2020-05-17T00:00:00"/>
    <x v="10"/>
    <n v="11967"/>
    <x v="245"/>
    <n v="15"/>
    <n v="692"/>
    <n v="591"/>
    <n v="70699.3"/>
    <x v="1"/>
  </r>
  <r>
    <d v="2020-05-09T00:00:00"/>
    <x v="10"/>
    <n v="12037.5"/>
    <x v="246"/>
    <n v="15"/>
    <n v="623"/>
    <n v="535"/>
    <n v="72081.100000000006"/>
    <x v="3"/>
  </r>
  <r>
    <d v="2020-05-04T00:00:00"/>
    <x v="10"/>
    <n v="7087.5"/>
    <x v="247"/>
    <n v="15"/>
    <n v="390"/>
    <n v="315"/>
    <n v="40723.699999999997"/>
    <x v="3"/>
  </r>
  <r>
    <d v="2020-04-29T00:00:00"/>
    <x v="11"/>
    <n v="25816.5"/>
    <x v="248"/>
    <n v="18"/>
    <n v="1599"/>
    <n v="1450"/>
    <n v="131161.91666666666"/>
    <x v="4"/>
  </r>
  <r>
    <d v="2020-05-02T00:00:00"/>
    <x v="10"/>
    <n v="4624.5"/>
    <x v="249"/>
    <n v="15"/>
    <n v="274"/>
    <n v="203"/>
    <n v="28882.9"/>
    <x v="4"/>
  </r>
  <r>
    <d v="2020-05-26T00:00:00"/>
    <x v="10"/>
    <n v="12259.5"/>
    <x v="250"/>
    <n v="15"/>
    <n v="812"/>
    <n v="711"/>
    <n v="76803.600000000006"/>
    <x v="0"/>
  </r>
  <r>
    <d v="2020-05-01T00:00:00"/>
    <x v="10"/>
    <n v="5446.5"/>
    <x v="251"/>
    <n v="15"/>
    <n v="294"/>
    <n v="225"/>
    <n v="33704.800000000003"/>
    <x v="4"/>
  </r>
  <r>
    <d v="2020-05-12T00:00:00"/>
    <x v="10"/>
    <n v="11296.5"/>
    <x v="252"/>
    <n v="15"/>
    <n v="624"/>
    <n v="538"/>
    <n v="65975.5"/>
    <x v="1"/>
  </r>
  <r>
    <d v="2020-05-21T00:00:00"/>
    <x v="10"/>
    <n v="12135"/>
    <x v="253"/>
    <n v="15"/>
    <n v="749"/>
    <n v="652"/>
    <n v="73574.899999999994"/>
    <x v="2"/>
  </r>
  <r>
    <d v="2020-05-20T00:00:00"/>
    <x v="10"/>
    <n v="12630"/>
    <x v="254"/>
    <n v="15"/>
    <n v="760"/>
    <n v="664"/>
    <n v="73657.2"/>
    <x v="2"/>
  </r>
  <r>
    <d v="2020-05-05T00:00:00"/>
    <x v="10"/>
    <n v="8223"/>
    <x v="255"/>
    <n v="15"/>
    <n v="455"/>
    <n v="381"/>
    <n v="46306.2"/>
    <x v="3"/>
  </r>
  <r>
    <d v="2020-04-28T00:00:00"/>
    <x v="11"/>
    <n v="25149"/>
    <x v="256"/>
    <n v="18"/>
    <n v="1505"/>
    <n v="1368"/>
    <n v="126504"/>
    <x v="4"/>
  </r>
  <r>
    <d v="2020-05-13T00:00:00"/>
    <x v="10"/>
    <n v="10401"/>
    <x v="257"/>
    <n v="15"/>
    <n v="599"/>
    <n v="515"/>
    <n v="63327.5"/>
    <x v="1"/>
  </r>
  <r>
    <d v="2020-05-31T00:00:00"/>
    <x v="9"/>
    <n v="17689.5"/>
    <x v="258"/>
    <n v="17"/>
    <n v="1186"/>
    <n v="1054"/>
    <n v="93654.088235294112"/>
    <x v="0"/>
  </r>
  <r>
    <d v="2020-05-03T00:00:00"/>
    <x v="10"/>
    <n v="8127"/>
    <x v="259"/>
    <n v="15"/>
    <n v="455"/>
    <n v="384"/>
    <n v="44353.5"/>
    <x v="4"/>
  </r>
  <r>
    <d v="2020-05-30T00:00:00"/>
    <x v="9"/>
    <n v="27250.5"/>
    <x v="260"/>
    <n v="17"/>
    <n v="1697"/>
    <n v="1499"/>
    <n v="144544.23529411765"/>
    <x v="0"/>
  </r>
  <r>
    <d v="2020-05-06T00:00:00"/>
    <x v="10"/>
    <n v="8464.5"/>
    <x v="261"/>
    <n v="15"/>
    <n v="467"/>
    <n v="389"/>
    <n v="49286.1"/>
    <x v="3"/>
  </r>
  <r>
    <d v="2020-05-23T00:00:00"/>
    <x v="10"/>
    <n v="14167.5"/>
    <x v="262"/>
    <n v="15"/>
    <n v="840"/>
    <n v="725"/>
    <n v="87671.7"/>
    <x v="2"/>
  </r>
  <r>
    <d v="2020-05-28T00:00:00"/>
    <x v="9"/>
    <n v="16500"/>
    <x v="263"/>
    <n v="17"/>
    <n v="1097"/>
    <n v="968"/>
    <n v="87525.176470588238"/>
    <x v="0"/>
  </r>
  <r>
    <d v="2020-05-25T00:00:00"/>
    <x v="10"/>
    <n v="13260"/>
    <x v="264"/>
    <n v="15"/>
    <n v="835"/>
    <n v="736"/>
    <n v="82045.8"/>
    <x v="0"/>
  </r>
  <r>
    <d v="2020-04-30T00:00:00"/>
    <x v="10"/>
    <n v="4285.5"/>
    <x v="265"/>
    <n v="15"/>
    <n v="262"/>
    <n v="195"/>
    <n v="26979.4"/>
    <x v="4"/>
  </r>
  <r>
    <d v="2020-05-10T00:00:00"/>
    <x v="10"/>
    <n v="13440"/>
    <x v="266"/>
    <n v="15"/>
    <n v="706"/>
    <n v="608"/>
    <n v="79885.7"/>
    <x v="3"/>
  </r>
  <r>
    <d v="2020-05-08T00:00:00"/>
    <x v="10"/>
    <n v="9058.5"/>
    <x v="267"/>
    <n v="15"/>
    <n v="492"/>
    <n v="412"/>
    <n v="53250.6"/>
    <x v="3"/>
  </r>
  <r>
    <d v="2020-05-07T00:00:00"/>
    <x v="10"/>
    <n v="8719.5"/>
    <x v="268"/>
    <n v="15"/>
    <n v="480"/>
    <n v="398"/>
    <n v="51285.1"/>
    <x v="3"/>
  </r>
  <r>
    <d v="2020-05-24T00:00:00"/>
    <x v="10"/>
    <n v="12666"/>
    <x v="269"/>
    <n v="15"/>
    <n v="779"/>
    <n v="673"/>
    <n v="78991"/>
    <x v="2"/>
  </r>
  <r>
    <d v="2020-05-16T00:00:00"/>
    <x v="11"/>
    <n v="34563"/>
    <x v="270"/>
    <n v="19"/>
    <n v="2039"/>
    <n v="1868"/>
    <n v="153835.97368421053"/>
    <x v="1"/>
  </r>
  <r>
    <d v="2020-05-19T00:00:00"/>
    <x v="11"/>
    <n v="28882.5"/>
    <x v="271"/>
    <n v="19"/>
    <n v="1831"/>
    <n v="1667"/>
    <n v="128764.73684210527"/>
    <x v="2"/>
  </r>
  <r>
    <d v="2020-05-17T00:00:00"/>
    <x v="11"/>
    <n v="28275"/>
    <x v="272"/>
    <n v="19"/>
    <n v="1790"/>
    <n v="1633"/>
    <n v="128191.18421052632"/>
    <x v="1"/>
  </r>
  <r>
    <d v="2020-05-09T00:00:00"/>
    <x v="11"/>
    <n v="26271"/>
    <x v="273"/>
    <n v="19"/>
    <n v="1542"/>
    <n v="1412"/>
    <n v="125523"/>
    <x v="3"/>
  </r>
  <r>
    <d v="2020-05-04T00:00:00"/>
    <x v="11"/>
    <n v="23587.5"/>
    <x v="274"/>
    <n v="19"/>
    <n v="1479"/>
    <n v="1346"/>
    <n v="113456.21052631579"/>
    <x v="3"/>
  </r>
  <r>
    <d v="2020-05-02T00:00:00"/>
    <x v="11"/>
    <n v="18427.5"/>
    <x v="275"/>
    <n v="19"/>
    <n v="1206"/>
    <n v="1080"/>
    <n v="88571.131578947374"/>
    <x v="4"/>
  </r>
  <r>
    <d v="2020-05-26T00:00:00"/>
    <x v="11"/>
    <n v="27156"/>
    <x v="276"/>
    <n v="20"/>
    <n v="1814"/>
    <n v="1655"/>
    <n v="120540.15"/>
    <x v="0"/>
  </r>
  <r>
    <d v="2020-05-01T00:00:00"/>
    <x v="11"/>
    <n v="35190"/>
    <x v="277"/>
    <n v="19"/>
    <n v="1987"/>
    <n v="1791"/>
    <n v="166763.68421052632"/>
    <x v="4"/>
  </r>
  <r>
    <d v="2020-05-12T00:00:00"/>
    <x v="11"/>
    <n v="25483.5"/>
    <x v="278"/>
    <n v="19"/>
    <n v="1598"/>
    <n v="1454"/>
    <n v="118061.05263157895"/>
    <x v="1"/>
  </r>
  <r>
    <d v="2020-05-21T00:00:00"/>
    <x v="11"/>
    <n v="25362"/>
    <x v="279"/>
    <n v="19"/>
    <n v="1650"/>
    <n v="1505"/>
    <n v="115733.44736842105"/>
    <x v="2"/>
  </r>
  <r>
    <d v="2020-05-20T00:00:00"/>
    <x v="11"/>
    <n v="28849.5"/>
    <x v="280"/>
    <n v="19"/>
    <n v="1823"/>
    <n v="1678"/>
    <n v="132671.52631578947"/>
    <x v="2"/>
  </r>
  <r>
    <d v="2020-05-05T00:00:00"/>
    <x v="11"/>
    <n v="26367"/>
    <x v="281"/>
    <n v="19"/>
    <n v="1622"/>
    <n v="1482"/>
    <n v="125280.71052631579"/>
    <x v="3"/>
  </r>
  <r>
    <d v="2020-05-13T00:00:00"/>
    <x v="11"/>
    <n v="25539"/>
    <x v="282"/>
    <n v="19"/>
    <n v="1605"/>
    <n v="1447"/>
    <n v="119139.55263157895"/>
    <x v="1"/>
  </r>
  <r>
    <d v="2020-05-31T00:00:00"/>
    <x v="10"/>
    <n v="14808"/>
    <x v="283"/>
    <n v="16"/>
    <n v="917"/>
    <n v="802"/>
    <n v="83549.34375"/>
    <x v="0"/>
  </r>
  <r>
    <d v="2020-05-03T00:00:00"/>
    <x v="11"/>
    <n v="21343.5"/>
    <x v="284"/>
    <n v="19"/>
    <n v="1314"/>
    <n v="1192"/>
    <n v="100345.10526315789"/>
    <x v="4"/>
  </r>
  <r>
    <d v="2020-05-30T00:00:00"/>
    <x v="10"/>
    <n v="17946"/>
    <x v="285"/>
    <n v="16"/>
    <n v="1048"/>
    <n v="918"/>
    <n v="100568.15625"/>
    <x v="0"/>
  </r>
  <r>
    <d v="2020-05-06T00:00:00"/>
    <x v="11"/>
    <n v="24337.5"/>
    <x v="286"/>
    <n v="19"/>
    <n v="1509"/>
    <n v="1374"/>
    <n v="113650.02631578948"/>
    <x v="3"/>
  </r>
  <r>
    <d v="2020-05-23T00:00:00"/>
    <x v="11"/>
    <n v="36997.5"/>
    <x v="287"/>
    <n v="19"/>
    <n v="2195"/>
    <n v="1999"/>
    <n v="162586.34210526315"/>
    <x v="2"/>
  </r>
  <r>
    <d v="2020-05-28T00:00:00"/>
    <x v="10"/>
    <n v="13864.5"/>
    <x v="288"/>
    <n v="16"/>
    <n v="876"/>
    <n v="762"/>
    <n v="77484.1875"/>
    <x v="0"/>
  </r>
  <r>
    <d v="2020-05-25T00:00:00"/>
    <x v="11"/>
    <n v="28494"/>
    <x v="289"/>
    <n v="20"/>
    <n v="1899"/>
    <n v="1738"/>
    <n v="125640.15"/>
    <x v="0"/>
  </r>
  <r>
    <d v="2020-04-30T00:00:00"/>
    <x v="11"/>
    <n v="27883.5"/>
    <x v="290"/>
    <n v="19"/>
    <n v="1662"/>
    <n v="1506"/>
    <n v="134741.05263157896"/>
    <x v="4"/>
  </r>
  <r>
    <d v="2020-05-10T00:00:00"/>
    <x v="11"/>
    <n v="31224"/>
    <x v="291"/>
    <n v="19"/>
    <n v="1836"/>
    <n v="1680"/>
    <n v="145645.81578947368"/>
    <x v="3"/>
  </r>
  <r>
    <d v="2020-05-08T00:00:00"/>
    <x v="11"/>
    <n v="25020"/>
    <x v="292"/>
    <n v="19"/>
    <n v="1520"/>
    <n v="1380"/>
    <n v="117682.10526315789"/>
    <x v="3"/>
  </r>
  <r>
    <d v="2020-05-07T00:00:00"/>
    <x v="11"/>
    <n v="26184"/>
    <x v="293"/>
    <n v="19"/>
    <n v="1580"/>
    <n v="1435"/>
    <n v="121491.39473684211"/>
    <x v="3"/>
  </r>
  <r>
    <d v="2020-05-24T00:00:00"/>
    <x v="11"/>
    <n v="29824.5"/>
    <x v="294"/>
    <n v="19"/>
    <n v="1868"/>
    <n v="1706"/>
    <n v="132995.21052631579"/>
    <x v="2"/>
  </r>
  <r>
    <d v="2020-04-29T00:00:00"/>
    <x v="12"/>
    <n v="208351.5"/>
    <x v="295"/>
    <n v="59"/>
    <n v="13186"/>
    <n v="12251"/>
    <n v="366361.57627118647"/>
    <x v="4"/>
  </r>
  <r>
    <d v="2020-04-28T00:00:00"/>
    <x v="12"/>
    <n v="204637.5"/>
    <x v="296"/>
    <n v="59"/>
    <n v="12943"/>
    <n v="12072"/>
    <n v="357879.63559322036"/>
    <x v="4"/>
  </r>
  <r>
    <d v="2020-05-31T00:00:00"/>
    <x v="11"/>
    <n v="31372.5"/>
    <x v="297"/>
    <n v="21"/>
    <n v="2056"/>
    <n v="1879"/>
    <n v="133063.07142857142"/>
    <x v="0"/>
  </r>
  <r>
    <d v="2020-05-30T00:00:00"/>
    <x v="11"/>
    <n v="34681.5"/>
    <x v="298"/>
    <n v="20"/>
    <n v="2174"/>
    <n v="1957"/>
    <n v="150266.70000000001"/>
    <x v="0"/>
  </r>
  <r>
    <d v="2020-05-28T00:00:00"/>
    <x v="11"/>
    <n v="28197"/>
    <x v="299"/>
    <n v="20"/>
    <n v="1875"/>
    <n v="1701"/>
    <n v="127960.575"/>
    <x v="0"/>
  </r>
  <r>
    <d v="2020-05-16T00:00:00"/>
    <x v="12"/>
    <n v="236551.5"/>
    <x v="300"/>
    <n v="60"/>
    <n v="14049"/>
    <n v="13118"/>
    <n v="394823.05"/>
    <x v="1"/>
  </r>
  <r>
    <d v="2020-05-19T00:00:00"/>
    <x v="12"/>
    <n v="223597.5"/>
    <x v="301"/>
    <n v="60"/>
    <n v="13867"/>
    <n v="12987"/>
    <n v="365764.3"/>
    <x v="2"/>
  </r>
  <r>
    <d v="2020-05-17T00:00:00"/>
    <x v="12"/>
    <n v="193363.5"/>
    <x v="302"/>
    <n v="60"/>
    <n v="11698"/>
    <n v="10989"/>
    <n v="325773.09999999998"/>
    <x v="1"/>
  </r>
  <r>
    <d v="2020-05-09T00:00:00"/>
    <x v="12"/>
    <n v="188319"/>
    <x v="303"/>
    <n v="59"/>
    <n v="12016"/>
    <n v="11137"/>
    <n v="325739.51694915252"/>
    <x v="3"/>
  </r>
  <r>
    <d v="2020-05-04T00:00:00"/>
    <x v="12"/>
    <n v="237544.5"/>
    <x v="304"/>
    <n v="59"/>
    <n v="14423"/>
    <n v="13432"/>
    <n v="411732.50847457629"/>
    <x v="3"/>
  </r>
  <r>
    <d v="2020-04-29T00:00:00"/>
    <x v="13"/>
    <n v="203209.5"/>
    <x v="305"/>
    <n v="54"/>
    <n v="12747"/>
    <n v="11884"/>
    <n v="386507.25"/>
    <x v="4"/>
  </r>
  <r>
    <d v="2020-05-02T00:00:00"/>
    <x v="12"/>
    <n v="185979"/>
    <x v="306"/>
    <n v="59"/>
    <n v="12429"/>
    <n v="11477"/>
    <n v="332633.28813559323"/>
    <x v="4"/>
  </r>
  <r>
    <d v="2020-05-26T00:00:00"/>
    <x v="12"/>
    <n v="244905"/>
    <x v="307"/>
    <n v="59"/>
    <n v="15369"/>
    <n v="14299"/>
    <n v="426498.83898305084"/>
    <x v="0"/>
  </r>
  <r>
    <d v="2020-05-01T00:00:00"/>
    <x v="12"/>
    <n v="239409"/>
    <x v="308"/>
    <n v="59"/>
    <n v="15222"/>
    <n v="13873"/>
    <n v="430734.76271186443"/>
    <x v="4"/>
  </r>
  <r>
    <d v="2020-05-12T00:00:00"/>
    <x v="12"/>
    <n v="192886.5"/>
    <x v="309"/>
    <n v="60"/>
    <n v="12000"/>
    <n v="11194"/>
    <n v="320086.32500000001"/>
    <x v="1"/>
  </r>
  <r>
    <d v="2020-05-21T00:00:00"/>
    <x v="12"/>
    <n v="224233.5"/>
    <x v="310"/>
    <n v="60"/>
    <n v="14005"/>
    <n v="13002"/>
    <n v="370888.25"/>
    <x v="2"/>
  </r>
  <r>
    <d v="2020-05-20T00:00:00"/>
    <x v="12"/>
    <n v="219622.5"/>
    <x v="311"/>
    <n v="60"/>
    <n v="13792"/>
    <n v="12834"/>
    <n v="365988.1"/>
    <x v="2"/>
  </r>
  <r>
    <d v="2020-05-05T00:00:00"/>
    <x v="12"/>
    <n v="213582"/>
    <x v="312"/>
    <n v="59"/>
    <n v="13469"/>
    <n v="12486"/>
    <n v="371515.85593220341"/>
    <x v="3"/>
  </r>
  <r>
    <d v="2020-04-28T00:00:00"/>
    <x v="13"/>
    <n v="195705"/>
    <x v="313"/>
    <n v="54"/>
    <n v="12306"/>
    <n v="11532"/>
    <n v="370430.80555555556"/>
    <x v="4"/>
  </r>
  <r>
    <d v="2020-05-13T00:00:00"/>
    <x v="12"/>
    <n v="193722"/>
    <x v="314"/>
    <n v="60"/>
    <n v="12007"/>
    <n v="11245"/>
    <n v="323954.55"/>
    <x v="1"/>
  </r>
  <r>
    <d v="2020-05-03T00:00:00"/>
    <x v="12"/>
    <n v="257215.5"/>
    <x v="315"/>
    <n v="59"/>
    <n v="15277"/>
    <n v="14163"/>
    <n v="449021.66949152545"/>
    <x v="4"/>
  </r>
  <r>
    <d v="2020-05-06T00:00:00"/>
    <x v="12"/>
    <n v="224779.5"/>
    <x v="316"/>
    <n v="59"/>
    <n v="14103"/>
    <n v="13118"/>
    <n v="390389.69491525425"/>
    <x v="3"/>
  </r>
  <r>
    <d v="2020-05-23T00:00:00"/>
    <x v="12"/>
    <n v="292018.5"/>
    <x v="317"/>
    <n v="60"/>
    <n v="17295"/>
    <n v="16010"/>
    <n v="476515.17499999999"/>
    <x v="2"/>
  </r>
  <r>
    <d v="2020-05-25T00:00:00"/>
    <x v="12"/>
    <n v="198751.5"/>
    <x v="318"/>
    <n v="59"/>
    <n v="12983"/>
    <n v="12056"/>
    <n v="348860.05932203389"/>
    <x v="0"/>
  </r>
  <r>
    <d v="2020-04-30T00:00:00"/>
    <x v="12"/>
    <n v="214386"/>
    <x v="319"/>
    <n v="59"/>
    <n v="13251"/>
    <n v="12255"/>
    <n v="381864.40677966102"/>
    <x v="4"/>
  </r>
  <r>
    <d v="2020-05-10T00:00:00"/>
    <x v="12"/>
    <n v="243825"/>
    <x v="320"/>
    <n v="59"/>
    <n v="14569"/>
    <n v="13566"/>
    <n v="421871.26271186443"/>
    <x v="3"/>
  </r>
  <r>
    <d v="2020-05-08T00:00:00"/>
    <x v="12"/>
    <n v="232701"/>
    <x v="321"/>
    <n v="59"/>
    <n v="14098"/>
    <n v="13106"/>
    <n v="404778.78813559323"/>
    <x v="3"/>
  </r>
  <r>
    <d v="2020-05-07T00:00:00"/>
    <x v="12"/>
    <n v="219411"/>
    <x v="322"/>
    <n v="59"/>
    <n v="13495"/>
    <n v="12517"/>
    <n v="380680.16949152545"/>
    <x v="3"/>
  </r>
  <r>
    <d v="2020-05-24T00:00:00"/>
    <x v="12"/>
    <n v="200029.5"/>
    <x v="323"/>
    <n v="60"/>
    <n v="12822"/>
    <n v="11916"/>
    <n v="332663.34999999998"/>
    <x v="2"/>
  </r>
  <r>
    <d v="2020-05-16T00:00:00"/>
    <x v="13"/>
    <n v="225480"/>
    <x v="324"/>
    <n v="54"/>
    <n v="13170"/>
    <n v="12299"/>
    <n v="413987.75"/>
    <x v="1"/>
  </r>
  <r>
    <d v="2020-05-19T00:00:00"/>
    <x v="13"/>
    <n v="211453.5"/>
    <x v="325"/>
    <n v="54"/>
    <n v="13070"/>
    <n v="12244"/>
    <n v="381297.63888888888"/>
    <x v="2"/>
  </r>
  <r>
    <d v="2020-05-17T00:00:00"/>
    <x v="13"/>
    <n v="184801.5"/>
    <x v="326"/>
    <n v="54"/>
    <n v="11128"/>
    <n v="10467"/>
    <n v="341649.83333333331"/>
    <x v="1"/>
  </r>
  <r>
    <d v="2020-05-09T00:00:00"/>
    <x v="13"/>
    <n v="177976.5"/>
    <x v="327"/>
    <n v="54"/>
    <n v="11288"/>
    <n v="10492"/>
    <n v="334922.19444444444"/>
    <x v="3"/>
  </r>
  <r>
    <d v="2020-05-04T00:00:00"/>
    <x v="13"/>
    <n v="223617"/>
    <x v="328"/>
    <n v="54"/>
    <n v="13606"/>
    <n v="12697"/>
    <n v="422163.47222222225"/>
    <x v="3"/>
  </r>
  <r>
    <d v="2020-05-02T00:00:00"/>
    <x v="13"/>
    <n v="176397"/>
    <x v="329"/>
    <n v="54"/>
    <n v="11622"/>
    <n v="10754"/>
    <n v="344924.47222222225"/>
    <x v="4"/>
  </r>
  <r>
    <d v="2020-05-26T00:00:00"/>
    <x v="13"/>
    <n v="232369.5"/>
    <x v="330"/>
    <n v="54"/>
    <n v="14482"/>
    <n v="13510"/>
    <n v="441784.16666666669"/>
    <x v="0"/>
  </r>
  <r>
    <d v="2020-05-01T00:00:00"/>
    <x v="13"/>
    <n v="226540.5"/>
    <x v="331"/>
    <n v="54"/>
    <n v="14205"/>
    <n v="13026"/>
    <n v="443584"/>
    <x v="4"/>
  </r>
  <r>
    <d v="2020-05-12T00:00:00"/>
    <x v="13"/>
    <n v="189679.5"/>
    <x v="332"/>
    <n v="54"/>
    <n v="11614"/>
    <n v="10862"/>
    <n v="346630.30555555556"/>
    <x v="1"/>
  </r>
  <r>
    <d v="2020-05-21T00:00:00"/>
    <x v="13"/>
    <n v="213640.5"/>
    <x v="333"/>
    <n v="54"/>
    <n v="13240"/>
    <n v="12360"/>
    <n v="389679.13888888888"/>
    <x v="2"/>
  </r>
  <r>
    <d v="2020-05-20T00:00:00"/>
    <x v="13"/>
    <n v="214885.5"/>
    <x v="334"/>
    <n v="54"/>
    <n v="13298"/>
    <n v="12428"/>
    <n v="396506.47222222225"/>
    <x v="2"/>
  </r>
  <r>
    <d v="2020-05-05T00:00:00"/>
    <x v="13"/>
    <n v="203832"/>
    <x v="335"/>
    <n v="54"/>
    <n v="12775"/>
    <n v="11887"/>
    <n v="386669.30555555556"/>
    <x v="3"/>
  </r>
  <r>
    <d v="2020-05-13T00:00:00"/>
    <x v="13"/>
    <n v="188662.5"/>
    <x v="336"/>
    <n v="54"/>
    <n v="11522"/>
    <n v="10803"/>
    <n v="347851.86111111112"/>
    <x v="1"/>
  </r>
  <r>
    <d v="2020-05-31T00:00:00"/>
    <x v="12"/>
    <n v="215277"/>
    <x v="337"/>
    <n v="59"/>
    <n v="13684"/>
    <n v="12690"/>
    <n v="365852.82203389832"/>
    <x v="0"/>
  </r>
  <r>
    <d v="2020-05-03T00:00:00"/>
    <x v="13"/>
    <n v="248148"/>
    <x v="338"/>
    <n v="54"/>
    <n v="14823"/>
    <n v="13751"/>
    <n v="472575.41666666669"/>
    <x v="4"/>
  </r>
  <r>
    <d v="2020-05-30T00:00:00"/>
    <x v="12"/>
    <n v="246414"/>
    <x v="339"/>
    <n v="59"/>
    <n v="15030"/>
    <n v="13956"/>
    <n v="415716.0254237288"/>
    <x v="0"/>
  </r>
  <r>
    <d v="2020-05-06T00:00:00"/>
    <x v="13"/>
    <n v="216498"/>
    <x v="340"/>
    <n v="54"/>
    <n v="13406"/>
    <n v="12518"/>
    <n v="409748.97222222225"/>
    <x v="3"/>
  </r>
  <r>
    <d v="2020-05-23T00:00:00"/>
    <x v="13"/>
    <n v="275793"/>
    <x v="341"/>
    <n v="54"/>
    <n v="16221"/>
    <n v="15065"/>
    <n v="496419"/>
    <x v="2"/>
  </r>
  <r>
    <d v="2020-05-28T00:00:00"/>
    <x v="12"/>
    <n v="199753.5"/>
    <x v="342"/>
    <n v="60"/>
    <n v="12854"/>
    <n v="11954"/>
    <n v="342262.22499999998"/>
    <x v="0"/>
  </r>
  <r>
    <d v="2020-05-25T00:00:00"/>
    <x v="13"/>
    <n v="192948"/>
    <x v="343"/>
    <n v="54"/>
    <n v="12336"/>
    <n v="11519"/>
    <n v="366794.94444444444"/>
    <x v="0"/>
  </r>
  <r>
    <d v="2020-04-30T00:00:00"/>
    <x v="13"/>
    <n v="206038.5"/>
    <x v="344"/>
    <n v="54"/>
    <n v="12817"/>
    <n v="11865"/>
    <n v="402601.11111111112"/>
    <x v="4"/>
  </r>
  <r>
    <d v="2020-05-10T00:00:00"/>
    <x v="13"/>
    <n v="231559.5"/>
    <x v="345"/>
    <n v="54"/>
    <n v="13832"/>
    <n v="12864"/>
    <n v="434143.05555555556"/>
    <x v="3"/>
  </r>
  <r>
    <d v="2020-05-08T00:00:00"/>
    <x v="13"/>
    <n v="225076.5"/>
    <x v="346"/>
    <n v="54"/>
    <n v="13563"/>
    <n v="12604"/>
    <n v="423075.52777777775"/>
    <x v="3"/>
  </r>
  <r>
    <d v="2020-05-07T00:00:00"/>
    <x v="13"/>
    <n v="209415"/>
    <x v="347"/>
    <n v="54"/>
    <n v="12743"/>
    <n v="11858"/>
    <n v="397463.38888888888"/>
    <x v="3"/>
  </r>
  <r>
    <d v="2020-05-24T00:00:00"/>
    <x v="13"/>
    <n v="193719"/>
    <x v="348"/>
    <n v="54"/>
    <n v="12211"/>
    <n v="11427"/>
    <n v="353168.83333333331"/>
    <x v="2"/>
  </r>
  <r>
    <d v="2020-04-29T00:00:00"/>
    <x v="14"/>
    <n v="12250.5"/>
    <x v="349"/>
    <n v="15"/>
    <n v="659"/>
    <n v="575"/>
    <n v="65434.6"/>
    <x v="4"/>
  </r>
  <r>
    <d v="2020-04-28T00:00:00"/>
    <x v="14"/>
    <n v="12541.5"/>
    <x v="350"/>
    <n v="15"/>
    <n v="636"/>
    <n v="547"/>
    <n v="66169.399999999994"/>
    <x v="4"/>
  </r>
  <r>
    <d v="2020-05-31T00:00:00"/>
    <x v="13"/>
    <n v="206758.5"/>
    <x v="351"/>
    <n v="54"/>
    <n v="13106"/>
    <n v="12164"/>
    <n v="383652.75"/>
    <x v="0"/>
  </r>
  <r>
    <d v="2020-05-30T00:00:00"/>
    <x v="13"/>
    <n v="244734"/>
    <x v="352"/>
    <n v="54"/>
    <n v="14590"/>
    <n v="13551"/>
    <n v="447258.88888888888"/>
    <x v="0"/>
  </r>
  <r>
    <d v="2020-05-28T00:00:00"/>
    <x v="13"/>
    <n v="191641.5"/>
    <x v="353"/>
    <n v="54"/>
    <n v="12409"/>
    <n v="11582"/>
    <n v="362019.19444444444"/>
    <x v="0"/>
  </r>
  <r>
    <d v="2020-05-16T00:00:00"/>
    <x v="14"/>
    <n v="16368"/>
    <x v="354"/>
    <n v="16"/>
    <n v="920"/>
    <n v="818"/>
    <n v="82271.90625"/>
    <x v="1"/>
  </r>
  <r>
    <d v="2020-05-19T00:00:00"/>
    <x v="14"/>
    <n v="14427"/>
    <x v="355"/>
    <n v="17"/>
    <n v="857"/>
    <n v="757"/>
    <n v="66282.970588235301"/>
    <x v="2"/>
  </r>
  <r>
    <d v="2020-05-17T00:00:00"/>
    <x v="14"/>
    <n v="13440"/>
    <x v="356"/>
    <n v="16"/>
    <n v="859"/>
    <n v="746"/>
    <n v="72345.5625"/>
    <x v="1"/>
  </r>
  <r>
    <d v="2020-05-09T00:00:00"/>
    <x v="14"/>
    <n v="11745"/>
    <x v="357"/>
    <n v="15"/>
    <n v="654"/>
    <n v="570"/>
    <n v="63720.1"/>
    <x v="3"/>
  </r>
  <r>
    <d v="2020-05-04T00:00:00"/>
    <x v="14"/>
    <n v="11062.5"/>
    <x v="358"/>
    <n v="15"/>
    <n v="622"/>
    <n v="538"/>
    <n v="60422.9"/>
    <x v="3"/>
  </r>
  <r>
    <d v="2020-05-02T00:00:00"/>
    <x v="14"/>
    <n v="10018.5"/>
    <x v="359"/>
    <n v="15"/>
    <n v="567"/>
    <n v="493"/>
    <n v="54457.3"/>
    <x v="4"/>
  </r>
  <r>
    <d v="2020-05-26T00:00:00"/>
    <x v="15"/>
    <n v="10437"/>
    <x v="360"/>
    <n v="7"/>
    <n v="577"/>
    <n v="389"/>
    <n v="119116.5"/>
    <x v="0"/>
  </r>
  <r>
    <d v="2020-05-01T00:00:00"/>
    <x v="14"/>
    <n v="13644"/>
    <x v="361"/>
    <n v="15"/>
    <n v="721"/>
    <n v="625"/>
    <n v="75629.600000000006"/>
    <x v="4"/>
  </r>
  <r>
    <d v="2020-05-12T00:00:00"/>
    <x v="14"/>
    <n v="13443"/>
    <x v="362"/>
    <n v="15"/>
    <n v="750"/>
    <n v="659"/>
    <n v="72818.5"/>
    <x v="1"/>
  </r>
  <r>
    <d v="2020-05-21T00:00:00"/>
    <x v="14"/>
    <n v="14182.5"/>
    <x v="363"/>
    <n v="18"/>
    <n v="888"/>
    <n v="786"/>
    <n v="65143"/>
    <x v="2"/>
  </r>
  <r>
    <d v="2020-05-20T00:00:00"/>
    <x v="14"/>
    <n v="14928"/>
    <x v="364"/>
    <n v="17"/>
    <n v="890"/>
    <n v="794"/>
    <n v="71632.323529411762"/>
    <x v="2"/>
  </r>
  <r>
    <d v="2020-05-05T00:00:00"/>
    <x v="14"/>
    <n v="13941"/>
    <x v="365"/>
    <n v="15"/>
    <n v="750"/>
    <n v="658"/>
    <n v="76371.7"/>
    <x v="3"/>
  </r>
  <r>
    <d v="2020-05-13T00:00:00"/>
    <x v="14"/>
    <n v="14643"/>
    <x v="366"/>
    <n v="15"/>
    <n v="854"/>
    <n v="756"/>
    <n v="78179.399999999994"/>
    <x v="1"/>
  </r>
  <r>
    <d v="2020-05-03T00:00:00"/>
    <x v="14"/>
    <n v="10032"/>
    <x v="367"/>
    <n v="15"/>
    <n v="585"/>
    <n v="502"/>
    <n v="54410"/>
    <x v="4"/>
  </r>
  <r>
    <d v="2020-05-06T00:00:00"/>
    <x v="14"/>
    <n v="12468"/>
    <x v="368"/>
    <n v="15"/>
    <n v="701"/>
    <n v="611"/>
    <n v="67771.100000000006"/>
    <x v="3"/>
  </r>
  <r>
    <d v="2020-05-23T00:00:00"/>
    <x v="14"/>
    <n v="17943"/>
    <x v="369"/>
    <n v="18"/>
    <n v="1031"/>
    <n v="918"/>
    <n v="80966.166666666672"/>
    <x v="2"/>
  </r>
  <r>
    <d v="2020-05-25T00:00:00"/>
    <x v="14"/>
    <n v="15807"/>
    <x v="370"/>
    <n v="18"/>
    <n v="989"/>
    <n v="887"/>
    <n v="73705.833333333328"/>
    <x v="0"/>
  </r>
  <r>
    <d v="2020-04-30T00:00:00"/>
    <x v="14"/>
    <n v="11976"/>
    <x v="371"/>
    <n v="15"/>
    <n v="644"/>
    <n v="550"/>
    <n v="66967.399999999994"/>
    <x v="4"/>
  </r>
  <r>
    <d v="2020-05-10T00:00:00"/>
    <x v="14"/>
    <n v="14566.5"/>
    <x v="372"/>
    <n v="15"/>
    <n v="792"/>
    <n v="695"/>
    <n v="81103.8"/>
    <x v="3"/>
  </r>
  <r>
    <d v="2020-05-08T00:00:00"/>
    <x v="14"/>
    <n v="12976.5"/>
    <x v="373"/>
    <n v="15"/>
    <n v="703"/>
    <n v="609"/>
    <n v="69789.899999999994"/>
    <x v="3"/>
  </r>
  <r>
    <d v="2020-05-07T00:00:00"/>
    <x v="14"/>
    <n v="11719.5"/>
    <x v="374"/>
    <n v="15"/>
    <n v="676"/>
    <n v="591"/>
    <n v="64392"/>
    <x v="3"/>
  </r>
  <r>
    <d v="2020-05-24T00:00:00"/>
    <x v="14"/>
    <n v="17197.5"/>
    <x v="375"/>
    <n v="18"/>
    <n v="1006"/>
    <n v="904"/>
    <n v="77014.583333333328"/>
    <x v="2"/>
  </r>
  <r>
    <d v="2020-05-26T00:00:00"/>
    <x v="14"/>
    <n v="14419.5"/>
    <x v="376"/>
    <n v="18"/>
    <n v="914"/>
    <n v="804"/>
    <n v="67247.583333333328"/>
    <x v="0"/>
  </r>
  <r>
    <d v="2020-06-01T00:00:00"/>
    <x v="0"/>
    <n v="7816.5"/>
    <x v="377"/>
    <n v="15"/>
    <n v="453"/>
    <n v="370"/>
    <n v="42423"/>
    <x v="5"/>
  </r>
  <r>
    <d v="2020-05-31T00:00:00"/>
    <x v="16"/>
    <n v="6409.5"/>
    <x v="378"/>
    <n v="9"/>
    <n v="345"/>
    <n v="255"/>
    <n v="54877"/>
    <x v="0"/>
  </r>
  <r>
    <d v="2020-05-30T00:00:00"/>
    <x v="15"/>
    <n v="11220"/>
    <x v="379"/>
    <n v="7"/>
    <n v="532"/>
    <n v="449"/>
    <n v="132667.92857142858"/>
    <x v="0"/>
  </r>
  <r>
    <d v="2020-05-29T00:00:00"/>
    <x v="0"/>
    <n v="8350.5"/>
    <x v="380"/>
    <n v="15"/>
    <n v="400"/>
    <n v="329"/>
    <n v="43415.8"/>
    <x v="0"/>
  </r>
  <r>
    <d v="2020-05-28T00:00:00"/>
    <x v="15"/>
    <n v="8428.5"/>
    <x v="381"/>
    <n v="7"/>
    <n v="420"/>
    <n v="347"/>
    <n v="99238.5"/>
    <x v="0"/>
  </r>
  <r>
    <d v="2020-05-27T00:00:00"/>
    <x v="1"/>
    <n v="32817"/>
    <x v="382"/>
    <n v="20"/>
    <n v="2079"/>
    <n v="1893"/>
    <n v="150787.57500000001"/>
    <x v="0"/>
  </r>
  <r>
    <d v="2020-05-22T00:00:00"/>
    <x v="1"/>
    <n v="36031.5"/>
    <x v="383"/>
    <n v="21"/>
    <n v="2046"/>
    <n v="1853"/>
    <n v="147193.78571428571"/>
    <x v="2"/>
  </r>
  <r>
    <d v="2020-05-31T00:00:00"/>
    <x v="17"/>
    <n v="5127"/>
    <x v="384"/>
    <n v="6"/>
    <n v="261"/>
    <n v="188"/>
    <n v="78139.25"/>
    <x v="0"/>
  </r>
  <r>
    <d v="2020-05-11T00:00:00"/>
    <x v="1"/>
    <n v="27187.5"/>
    <x v="385"/>
    <n v="21"/>
    <n v="1597"/>
    <n v="1457"/>
    <n v="118066.5"/>
    <x v="1"/>
  </r>
  <r>
    <d v="2020-05-30T00:00:00"/>
    <x v="14"/>
    <n v="20688"/>
    <x v="386"/>
    <n v="18"/>
    <n v="1216"/>
    <n v="1101"/>
    <n v="98508.583333333328"/>
    <x v="0"/>
  </r>
  <r>
    <d v="2020-05-28T00:00:00"/>
    <x v="14"/>
    <n v="15678"/>
    <x v="387"/>
    <n v="18"/>
    <n v="1020"/>
    <n v="911"/>
    <n v="77080.166666666672"/>
    <x v="0"/>
  </r>
  <r>
    <d v="2020-05-18T00:00:00"/>
    <x v="1"/>
    <n v="31329"/>
    <x v="388"/>
    <n v="21"/>
    <n v="1834"/>
    <n v="1660"/>
    <n v="134589.5"/>
    <x v="2"/>
  </r>
  <r>
    <d v="2020-05-14T00:00:00"/>
    <x v="1"/>
    <n v="29658"/>
    <x v="389"/>
    <n v="21"/>
    <n v="1706"/>
    <n v="1548"/>
    <n v="128720.57142857143"/>
    <x v="1"/>
  </r>
  <r>
    <d v="2020-05-15T00:00:00"/>
    <x v="1"/>
    <n v="34150.5"/>
    <x v="390"/>
    <n v="21"/>
    <n v="1926"/>
    <n v="1742"/>
    <n v="144680.64285714287"/>
    <x v="1"/>
  </r>
  <r>
    <d v="2020-06-01T00:00:00"/>
    <x v="1"/>
    <n v="31947"/>
    <x v="391"/>
    <n v="21"/>
    <n v="2025"/>
    <n v="1849"/>
    <n v="140239.78571428571"/>
    <x v="5"/>
  </r>
  <r>
    <d v="2020-05-31T00:00:00"/>
    <x v="15"/>
    <n v="10416"/>
    <x v="392"/>
    <n v="7"/>
    <n v="530"/>
    <n v="447"/>
    <n v="123717.64285714286"/>
    <x v="0"/>
  </r>
  <r>
    <d v="2020-05-29T00:00:00"/>
    <x v="1"/>
    <n v="35431.5"/>
    <x v="393"/>
    <n v="20"/>
    <n v="2111"/>
    <n v="1917"/>
    <n v="159658.35"/>
    <x v="0"/>
  </r>
  <r>
    <d v="2020-05-27T00:00:00"/>
    <x v="2"/>
    <n v="78544.5"/>
    <x v="394"/>
    <n v="31"/>
    <n v="5330"/>
    <n v="4977"/>
    <n v="216163.98387096773"/>
    <x v="0"/>
  </r>
  <r>
    <d v="2020-05-22T00:00:00"/>
    <x v="2"/>
    <n v="97963.5"/>
    <x v="395"/>
    <n v="31"/>
    <n v="5965"/>
    <n v="5533"/>
    <n v="249305.32258064515"/>
    <x v="2"/>
  </r>
  <r>
    <d v="2020-06-01T00:00:00"/>
    <x v="2"/>
    <n v="77269.5"/>
    <x v="396"/>
    <n v="31"/>
    <n v="5468"/>
    <n v="5081"/>
    <n v="220320.04838709679"/>
    <x v="5"/>
  </r>
  <r>
    <d v="2020-05-31T00:00:00"/>
    <x v="14"/>
    <n v="16143"/>
    <x v="397"/>
    <n v="18"/>
    <n v="1029"/>
    <n v="925"/>
    <n v="79078.333333333328"/>
    <x v="0"/>
  </r>
  <r>
    <d v="2020-05-11T00:00:00"/>
    <x v="2"/>
    <n v="72220.5"/>
    <x v="398"/>
    <n v="31"/>
    <n v="4826"/>
    <n v="4483"/>
    <n v="206410.30645161291"/>
    <x v="1"/>
  </r>
  <r>
    <d v="2020-05-18T00:00:00"/>
    <x v="2"/>
    <n v="78058.5"/>
    <x v="399"/>
    <n v="31"/>
    <n v="5165"/>
    <n v="4813"/>
    <n v="213216.5806451613"/>
    <x v="2"/>
  </r>
  <r>
    <d v="2020-05-14T00:00:00"/>
    <x v="2"/>
    <n v="70498.5"/>
    <x v="400"/>
    <n v="31"/>
    <n v="4695"/>
    <n v="4372"/>
    <n v="195279"/>
    <x v="1"/>
  </r>
  <r>
    <d v="2020-05-15T00:00:00"/>
    <x v="2"/>
    <n v="78961.5"/>
    <x v="401"/>
    <n v="31"/>
    <n v="5184"/>
    <n v="4778"/>
    <n v="221821.11290322582"/>
    <x v="1"/>
  </r>
  <r>
    <d v="2020-05-27T00:00:00"/>
    <x v="3"/>
    <n v="12490.5"/>
    <x v="402"/>
    <n v="10"/>
    <n v="757"/>
    <n v="660"/>
    <n v="105479.85"/>
    <x v="0"/>
  </r>
  <r>
    <d v="2020-05-22T00:00:00"/>
    <x v="3"/>
    <n v="18036"/>
    <x v="403"/>
    <n v="10"/>
    <n v="965"/>
    <n v="861"/>
    <n v="145504.95000000001"/>
    <x v="2"/>
  </r>
  <r>
    <d v="2020-06-01T00:00:00"/>
    <x v="3"/>
    <n v="11416.5"/>
    <x v="404"/>
    <n v="10"/>
    <n v="719"/>
    <n v="627"/>
    <n v="100774.2"/>
    <x v="5"/>
  </r>
  <r>
    <d v="2020-05-11T00:00:00"/>
    <x v="3"/>
    <n v="9007.5"/>
    <x v="405"/>
    <n v="10"/>
    <n v="494"/>
    <n v="421"/>
    <n v="73433.55"/>
    <x v="1"/>
  </r>
  <r>
    <d v="2020-05-29T00:00:00"/>
    <x v="2"/>
    <n v="87552"/>
    <x v="406"/>
    <n v="31"/>
    <n v="5751"/>
    <n v="5319"/>
    <n v="238294.06451612903"/>
    <x v="0"/>
  </r>
  <r>
    <d v="2020-05-18T00:00:00"/>
    <x v="3"/>
    <n v="11680.5"/>
    <x v="407"/>
    <n v="10"/>
    <n v="645"/>
    <n v="565"/>
    <n v="93642.75"/>
    <x v="2"/>
  </r>
  <r>
    <d v="2020-05-14T00:00:00"/>
    <x v="3"/>
    <n v="12037.5"/>
    <x v="408"/>
    <n v="10"/>
    <n v="627"/>
    <n v="545"/>
    <n v="98156.4"/>
    <x v="1"/>
  </r>
  <r>
    <d v="2020-05-15T00:00:00"/>
    <x v="3"/>
    <n v="14421"/>
    <x v="409"/>
    <n v="10"/>
    <n v="743"/>
    <n v="652"/>
    <n v="115057.95"/>
    <x v="1"/>
  </r>
  <r>
    <d v="2020-05-29T00:00:00"/>
    <x v="3"/>
    <n v="14823"/>
    <x v="410"/>
    <n v="10"/>
    <n v="873"/>
    <n v="770"/>
    <n v="127346.4"/>
    <x v="0"/>
  </r>
  <r>
    <d v="2020-05-27T00:00:00"/>
    <x v="4"/>
    <n v="31257"/>
    <x v="411"/>
    <n v="20"/>
    <n v="2079"/>
    <n v="1856"/>
    <n v="146206.65"/>
    <x v="0"/>
  </r>
  <r>
    <d v="2020-05-22T00:00:00"/>
    <x v="4"/>
    <n v="38074.5"/>
    <x v="412"/>
    <n v="20"/>
    <n v="2306"/>
    <n v="2054"/>
    <n v="170709"/>
    <x v="2"/>
  </r>
  <r>
    <d v="2020-06-01T00:00:00"/>
    <x v="4"/>
    <n v="32170.5"/>
    <x v="413"/>
    <n v="20"/>
    <n v="2136"/>
    <n v="1899"/>
    <n v="150675.6"/>
    <x v="5"/>
  </r>
  <r>
    <d v="2020-05-11T00:00:00"/>
    <x v="4"/>
    <n v="42397.5"/>
    <x v="414"/>
    <n v="19"/>
    <n v="2530"/>
    <n v="2270"/>
    <n v="205893.63157894736"/>
    <x v="1"/>
  </r>
  <r>
    <d v="2020-05-18T00:00:00"/>
    <x v="4"/>
    <n v="28668"/>
    <x v="415"/>
    <n v="19"/>
    <n v="1858"/>
    <n v="1648"/>
    <n v="136218.31578947368"/>
    <x v="2"/>
  </r>
  <r>
    <d v="2020-05-14T00:00:00"/>
    <x v="4"/>
    <n v="27411"/>
    <x v="416"/>
    <n v="19"/>
    <n v="1675"/>
    <n v="1475"/>
    <n v="128501.05263157895"/>
    <x v="1"/>
  </r>
  <r>
    <d v="2020-05-15T00:00:00"/>
    <x v="4"/>
    <n v="32854.5"/>
    <x v="417"/>
    <n v="19"/>
    <n v="1940"/>
    <n v="1715"/>
    <n v="155214.63157894736"/>
    <x v="1"/>
  </r>
  <r>
    <d v="2020-05-29T00:00:00"/>
    <x v="4"/>
    <n v="35346"/>
    <x v="418"/>
    <n v="20"/>
    <n v="2249"/>
    <n v="2000"/>
    <n v="162902.70000000001"/>
    <x v="0"/>
  </r>
  <r>
    <d v="2020-05-27T00:00:00"/>
    <x v="5"/>
    <n v="286558.5"/>
    <x v="419"/>
    <n v="129"/>
    <n v="17115"/>
    <n v="15962"/>
    <n v="226798.39534883722"/>
    <x v="0"/>
  </r>
  <r>
    <d v="2020-05-22T00:00:00"/>
    <x v="5"/>
    <n v="304092"/>
    <x v="420"/>
    <n v="129"/>
    <n v="17088"/>
    <n v="15804"/>
    <n v="228416.81395348837"/>
    <x v="2"/>
  </r>
  <r>
    <d v="2020-06-01T00:00:00"/>
    <x v="5"/>
    <n v="272926.5"/>
    <x v="421"/>
    <n v="128"/>
    <n v="16285"/>
    <n v="15130"/>
    <n v="216953.84765625"/>
    <x v="5"/>
  </r>
  <r>
    <d v="2020-05-11T00:00:00"/>
    <x v="5"/>
    <n v="237099"/>
    <x v="422"/>
    <n v="129"/>
    <n v="14043"/>
    <n v="13167"/>
    <n v="190916.53661976743"/>
    <x v="1"/>
  </r>
  <r>
    <d v="2020-05-18T00:00:00"/>
    <x v="5"/>
    <n v="273900"/>
    <x v="423"/>
    <n v="129"/>
    <n v="16110"/>
    <n v="14992"/>
    <n v="213451.81509767444"/>
    <x v="2"/>
  </r>
  <r>
    <d v="2020-05-14T00:00:00"/>
    <x v="5"/>
    <n v="274059"/>
    <x v="424"/>
    <n v="129"/>
    <n v="15804"/>
    <n v="14738"/>
    <n v="218459.62790697673"/>
    <x v="1"/>
  </r>
  <r>
    <d v="2020-05-15T00:00:00"/>
    <x v="5"/>
    <n v="318816"/>
    <x v="425"/>
    <n v="129"/>
    <n v="17808"/>
    <n v="16486"/>
    <n v="250808.76744186046"/>
    <x v="1"/>
  </r>
  <r>
    <d v="2020-05-27T00:00:00"/>
    <x v="6"/>
    <n v="370012.5"/>
    <x v="426"/>
    <n v="124"/>
    <n v="21384"/>
    <n v="19897"/>
    <n v="314797.2701612903"/>
    <x v="0"/>
  </r>
  <r>
    <d v="2020-05-22T00:00:00"/>
    <x v="6"/>
    <n v="393018"/>
    <x v="427"/>
    <n v="125"/>
    <n v="21427"/>
    <n v="19799"/>
    <n v="315986.98800000001"/>
    <x v="2"/>
  </r>
  <r>
    <d v="2020-06-01T00:00:00"/>
    <x v="6"/>
    <n v="349699.5"/>
    <x v="428"/>
    <n v="123"/>
    <n v="20325"/>
    <n v="18935"/>
    <n v="302909.26976707316"/>
    <x v="5"/>
  </r>
  <r>
    <d v="2020-05-11T00:00:00"/>
    <x v="6"/>
    <n v="318565.5"/>
    <x v="429"/>
    <n v="125"/>
    <n v="18066"/>
    <n v="16883"/>
    <n v="270252.64799999999"/>
    <x v="1"/>
  </r>
  <r>
    <d v="2020-05-29T00:00:00"/>
    <x v="5"/>
    <n v="422965.5"/>
    <x v="430"/>
    <n v="129"/>
    <n v="22403"/>
    <n v="20676"/>
    <n v="323776.27988372097"/>
    <x v="0"/>
  </r>
  <r>
    <d v="2020-05-18T00:00:00"/>
    <x v="6"/>
    <n v="355081.5"/>
    <x v="431"/>
    <n v="125"/>
    <n v="20449"/>
    <n v="19060"/>
    <n v="295015.10399999999"/>
    <x v="2"/>
  </r>
  <r>
    <d v="2020-05-14T00:00:00"/>
    <x v="6"/>
    <n v="358387.5"/>
    <x v="432"/>
    <n v="125"/>
    <n v="20247"/>
    <n v="18812"/>
    <n v="303705.20400000003"/>
    <x v="1"/>
  </r>
  <r>
    <d v="2020-05-15T00:00:00"/>
    <x v="6"/>
    <n v="403261.5"/>
    <x v="433"/>
    <n v="125"/>
    <n v="21862"/>
    <n v="20235"/>
    <n v="338171.016"/>
    <x v="1"/>
  </r>
  <r>
    <d v="2020-05-27T00:00:00"/>
    <x v="7"/>
    <n v="69010.5"/>
    <x v="434"/>
    <n v="36"/>
    <n v="4951"/>
    <n v="4584"/>
    <n v="166274.83333333334"/>
    <x v="0"/>
  </r>
  <r>
    <d v="2020-05-22T00:00:00"/>
    <x v="7"/>
    <n v="75820.5"/>
    <x v="435"/>
    <n v="36"/>
    <n v="4857"/>
    <n v="4456"/>
    <n v="165096.91666666666"/>
    <x v="2"/>
  </r>
  <r>
    <d v="2020-06-01T00:00:00"/>
    <x v="7"/>
    <n v="64740"/>
    <x v="436"/>
    <n v="37"/>
    <n v="4722"/>
    <n v="4352"/>
    <n v="156764.59459459459"/>
    <x v="5"/>
  </r>
  <r>
    <d v="2020-05-11T00:00:00"/>
    <x v="7"/>
    <n v="59574"/>
    <x v="437"/>
    <n v="36"/>
    <n v="4150"/>
    <n v="3838"/>
    <n v="143838.04166666666"/>
    <x v="1"/>
  </r>
  <r>
    <d v="2020-05-29T00:00:00"/>
    <x v="6"/>
    <n v="524481"/>
    <x v="438"/>
    <n v="124"/>
    <n v="25828"/>
    <n v="23974"/>
    <n v="436871.20161290321"/>
    <x v="0"/>
  </r>
  <r>
    <d v="2020-05-18T00:00:00"/>
    <x v="7"/>
    <n v="70278"/>
    <x v="439"/>
    <n v="36"/>
    <n v="4885"/>
    <n v="4502"/>
    <n v="161068.79166666666"/>
    <x v="2"/>
  </r>
  <r>
    <d v="2020-05-14T00:00:00"/>
    <x v="7"/>
    <n v="63645"/>
    <x v="440"/>
    <n v="36"/>
    <n v="4285"/>
    <n v="3950"/>
    <n v="149072.29166666666"/>
    <x v="1"/>
  </r>
  <r>
    <d v="2020-05-15T00:00:00"/>
    <x v="7"/>
    <n v="75642"/>
    <x v="441"/>
    <n v="36"/>
    <n v="4862"/>
    <n v="4476"/>
    <n v="174832"/>
    <x v="1"/>
  </r>
  <r>
    <d v="2020-05-27T00:00:00"/>
    <x v="8"/>
    <n v="40420.5"/>
    <x v="442"/>
    <n v="21"/>
    <n v="2430"/>
    <n v="2216"/>
    <n v="180040.57142857142"/>
    <x v="0"/>
  </r>
  <r>
    <d v="2020-05-22T00:00:00"/>
    <x v="8"/>
    <n v="53838"/>
    <x v="443"/>
    <n v="21"/>
    <n v="2861"/>
    <n v="2612"/>
    <n v="230515.85714285713"/>
    <x v="2"/>
  </r>
  <r>
    <d v="2020-06-01T00:00:00"/>
    <x v="8"/>
    <n v="40528.5"/>
    <x v="444"/>
    <n v="23"/>
    <n v="2531"/>
    <n v="2296"/>
    <n v="168054.39130434784"/>
    <x v="5"/>
  </r>
  <r>
    <d v="2020-05-11T00:00:00"/>
    <x v="8"/>
    <n v="32733"/>
    <x v="445"/>
    <n v="21"/>
    <n v="1916"/>
    <n v="1733"/>
    <n v="146649.07142857142"/>
    <x v="1"/>
  </r>
  <r>
    <d v="2020-05-29T00:00:00"/>
    <x v="7"/>
    <n v="84433.5"/>
    <x v="446"/>
    <n v="37"/>
    <n v="5672"/>
    <n v="5198"/>
    <n v="195362.02702702704"/>
    <x v="0"/>
  </r>
  <r>
    <d v="2020-05-18T00:00:00"/>
    <x v="8"/>
    <n v="36655.5"/>
    <x v="447"/>
    <n v="21"/>
    <n v="2136"/>
    <n v="1947"/>
    <n v="160006.42857142858"/>
    <x v="2"/>
  </r>
  <r>
    <d v="2020-05-14T00:00:00"/>
    <x v="8"/>
    <n v="33886.5"/>
    <x v="448"/>
    <n v="21"/>
    <n v="1993"/>
    <n v="1796"/>
    <n v="150784.71428571429"/>
    <x v="1"/>
  </r>
  <r>
    <d v="2020-05-15T00:00:00"/>
    <x v="8"/>
    <n v="41697"/>
    <x v="449"/>
    <n v="21"/>
    <n v="2255"/>
    <n v="2045"/>
    <n v="179631.35714285713"/>
    <x v="1"/>
  </r>
  <r>
    <d v="2020-05-29T00:00:00"/>
    <x v="8"/>
    <n v="44569.5"/>
    <x v="450"/>
    <n v="22"/>
    <n v="2597"/>
    <n v="2379"/>
    <n v="186754.36363636365"/>
    <x v="0"/>
  </r>
  <r>
    <d v="2020-05-27T00:00:00"/>
    <x v="9"/>
    <n v="18069"/>
    <x v="451"/>
    <n v="17"/>
    <n v="1203"/>
    <n v="1077"/>
    <n v="94299.088235294112"/>
    <x v="0"/>
  </r>
  <r>
    <d v="2020-05-22T00:00:00"/>
    <x v="9"/>
    <n v="21483"/>
    <x v="452"/>
    <n v="17"/>
    <n v="1268"/>
    <n v="1129"/>
    <n v="104372.29411764706"/>
    <x v="2"/>
  </r>
  <r>
    <d v="2020-06-01T00:00:00"/>
    <x v="9"/>
    <n v="16687.5"/>
    <x v="453"/>
    <n v="17"/>
    <n v="1185"/>
    <n v="1042"/>
    <n v="89800.5"/>
    <x v="5"/>
  </r>
  <r>
    <d v="2020-05-11T00:00:00"/>
    <x v="9"/>
    <n v="12238.5"/>
    <x v="454"/>
    <n v="15"/>
    <n v="812"/>
    <n v="714"/>
    <n v="73066.8"/>
    <x v="1"/>
  </r>
  <r>
    <d v="2020-05-18T00:00:00"/>
    <x v="9"/>
    <n v="14290.5"/>
    <x v="455"/>
    <n v="16"/>
    <n v="925"/>
    <n v="816"/>
    <n v="77885.15625"/>
    <x v="2"/>
  </r>
  <r>
    <d v="2020-05-14T00:00:00"/>
    <x v="9"/>
    <n v="14385"/>
    <x v="456"/>
    <n v="15"/>
    <n v="890"/>
    <n v="777"/>
    <n v="81566.100000000006"/>
    <x v="1"/>
  </r>
  <r>
    <d v="2020-05-15T00:00:00"/>
    <x v="9"/>
    <n v="16498.5"/>
    <x v="457"/>
    <n v="15"/>
    <n v="980"/>
    <n v="867"/>
    <n v="91365.5"/>
    <x v="1"/>
  </r>
  <r>
    <d v="2020-05-27T00:00:00"/>
    <x v="10"/>
    <n v="13203"/>
    <x v="458"/>
    <n v="15"/>
    <n v="809"/>
    <n v="702"/>
    <n v="80763.8"/>
    <x v="0"/>
  </r>
  <r>
    <d v="2020-05-22T00:00:00"/>
    <x v="10"/>
    <n v="15802.5"/>
    <x v="459"/>
    <n v="15"/>
    <n v="903"/>
    <n v="792"/>
    <n v="94127.3"/>
    <x v="2"/>
  </r>
  <r>
    <d v="2020-06-01T00:00:00"/>
    <x v="10"/>
    <n v="16476"/>
    <x v="460"/>
    <n v="16"/>
    <n v="1019"/>
    <n v="895"/>
    <n v="97852.03125"/>
    <x v="5"/>
  </r>
  <r>
    <d v="2020-05-11T00:00:00"/>
    <x v="10"/>
    <n v="12654"/>
    <x v="461"/>
    <n v="15"/>
    <n v="684"/>
    <n v="585"/>
    <n v="72077.2"/>
    <x v="1"/>
  </r>
  <r>
    <d v="2020-05-29T00:00:00"/>
    <x v="9"/>
    <n v="19647"/>
    <x v="462"/>
    <n v="17"/>
    <n v="1296"/>
    <n v="1153"/>
    <n v="103804.05882352941"/>
    <x v="0"/>
  </r>
  <r>
    <d v="2020-05-18T00:00:00"/>
    <x v="10"/>
    <n v="12450"/>
    <x v="463"/>
    <n v="15"/>
    <n v="729"/>
    <n v="636"/>
    <n v="74343.100000000006"/>
    <x v="2"/>
  </r>
  <r>
    <d v="2020-05-14T00:00:00"/>
    <x v="10"/>
    <n v="11161.5"/>
    <x v="464"/>
    <n v="15"/>
    <n v="638"/>
    <n v="548"/>
    <n v="64233.5"/>
    <x v="1"/>
  </r>
  <r>
    <d v="2020-05-15T00:00:00"/>
    <x v="10"/>
    <n v="12229.5"/>
    <x v="465"/>
    <n v="15"/>
    <n v="688"/>
    <n v="598"/>
    <n v="74848.7"/>
    <x v="1"/>
  </r>
  <r>
    <d v="2020-05-27T00:00:00"/>
    <x v="11"/>
    <n v="28050"/>
    <x v="466"/>
    <n v="20"/>
    <n v="1873"/>
    <n v="1715"/>
    <n v="122927.77499999999"/>
    <x v="0"/>
  </r>
  <r>
    <d v="2020-05-22T00:00:00"/>
    <x v="11"/>
    <n v="30781.5"/>
    <x v="467"/>
    <n v="19"/>
    <n v="1859"/>
    <n v="1697"/>
    <n v="133721.84210526315"/>
    <x v="2"/>
  </r>
  <r>
    <d v="2020-06-01T00:00:00"/>
    <x v="11"/>
    <n v="27960"/>
    <x v="468"/>
    <n v="21"/>
    <n v="1879"/>
    <n v="1720"/>
    <n v="120903.21428571429"/>
    <x v="5"/>
  </r>
  <r>
    <d v="2020-05-11T00:00:00"/>
    <x v="11"/>
    <n v="23629.5"/>
    <x v="469"/>
    <n v="19"/>
    <n v="1527"/>
    <n v="1389"/>
    <n v="113913.94736842105"/>
    <x v="1"/>
  </r>
  <r>
    <d v="2020-05-29T00:00:00"/>
    <x v="10"/>
    <n v="17052"/>
    <x v="470"/>
    <n v="16"/>
    <n v="981"/>
    <n v="859"/>
    <n v="96813.75"/>
    <x v="0"/>
  </r>
  <r>
    <d v="2020-05-18T00:00:00"/>
    <x v="11"/>
    <n v="27181.5"/>
    <x v="471"/>
    <n v="19"/>
    <n v="1741"/>
    <n v="1597"/>
    <n v="122341.57894736843"/>
    <x v="2"/>
  </r>
  <r>
    <d v="2020-05-14T00:00:00"/>
    <x v="11"/>
    <n v="25656"/>
    <x v="472"/>
    <n v="19"/>
    <n v="1635"/>
    <n v="1487"/>
    <n v="117123.23684210527"/>
    <x v="1"/>
  </r>
  <r>
    <d v="2020-05-15T00:00:00"/>
    <x v="11"/>
    <n v="29283"/>
    <x v="473"/>
    <n v="19"/>
    <n v="1780"/>
    <n v="1615"/>
    <n v="130394.05263157895"/>
    <x v="1"/>
  </r>
  <r>
    <d v="2020-05-29T00:00:00"/>
    <x v="11"/>
    <n v="32782.5"/>
    <x v="474"/>
    <n v="20"/>
    <n v="2064"/>
    <n v="1896"/>
    <n v="142737.07500000001"/>
    <x v="0"/>
  </r>
  <r>
    <d v="2020-05-27T00:00:00"/>
    <x v="12"/>
    <n v="215592"/>
    <x v="475"/>
    <n v="59"/>
    <n v="13942"/>
    <n v="12986"/>
    <n v="378683.05932203389"/>
    <x v="0"/>
  </r>
  <r>
    <d v="2020-05-22T00:00:00"/>
    <x v="12"/>
    <n v="228334.5"/>
    <x v="476"/>
    <n v="60"/>
    <n v="14050"/>
    <n v="13027"/>
    <n v="373012.875"/>
    <x v="2"/>
  </r>
  <r>
    <d v="2020-06-01T00:00:00"/>
    <x v="12"/>
    <n v="188776.5"/>
    <x v="477"/>
    <n v="59"/>
    <n v="12299"/>
    <n v="11448"/>
    <n v="329921.56779661018"/>
    <x v="5"/>
  </r>
  <r>
    <d v="2020-05-11T00:00:00"/>
    <x v="12"/>
    <n v="175293"/>
    <x v="478"/>
    <n v="60"/>
    <n v="11100"/>
    <n v="10407"/>
    <n v="298652.40000000002"/>
    <x v="1"/>
  </r>
  <r>
    <d v="2020-05-18T00:00:00"/>
    <x v="12"/>
    <n v="201999"/>
    <x v="479"/>
    <n v="60"/>
    <n v="12460"/>
    <n v="11665"/>
    <n v="340373.92499999999"/>
    <x v="2"/>
  </r>
  <r>
    <d v="2020-05-14T00:00:00"/>
    <x v="12"/>
    <n v="197946"/>
    <x v="480"/>
    <n v="60"/>
    <n v="11935"/>
    <n v="11178"/>
    <n v="332373.92499999999"/>
    <x v="1"/>
  </r>
  <r>
    <d v="2020-05-15T00:00:00"/>
    <x v="12"/>
    <n v="230896.5"/>
    <x v="481"/>
    <n v="60"/>
    <n v="13544"/>
    <n v="12643"/>
    <n v="384753.7"/>
    <x v="1"/>
  </r>
  <r>
    <d v="2020-05-27T00:00:00"/>
    <x v="13"/>
    <n v="203532"/>
    <x v="482"/>
    <n v="54"/>
    <n v="13091"/>
    <n v="12216"/>
    <n v="388024.52777777775"/>
    <x v="0"/>
  </r>
  <r>
    <d v="2020-05-22T00:00:00"/>
    <x v="13"/>
    <n v="214428"/>
    <x v="483"/>
    <n v="54"/>
    <n v="13014"/>
    <n v="12095"/>
    <n v="385418.25"/>
    <x v="2"/>
  </r>
  <r>
    <d v="2020-06-01T00:00:00"/>
    <x v="13"/>
    <n v="183228"/>
    <x v="484"/>
    <n v="54"/>
    <n v="11864"/>
    <n v="11071"/>
    <n v="350262.86111111112"/>
    <x v="5"/>
  </r>
  <r>
    <d v="2020-05-11T00:00:00"/>
    <x v="13"/>
    <n v="166948.5"/>
    <x v="485"/>
    <n v="54"/>
    <n v="10570"/>
    <n v="9926"/>
    <n v="314282.05555555556"/>
    <x v="1"/>
  </r>
  <r>
    <d v="2020-05-29T00:00:00"/>
    <x v="12"/>
    <n v="232102.5"/>
    <x v="486"/>
    <n v="59"/>
    <n v="14507"/>
    <n v="13386"/>
    <n v="391871.92372881353"/>
    <x v="0"/>
  </r>
  <r>
    <d v="2020-05-18T00:00:00"/>
    <x v="13"/>
    <n v="196560"/>
    <x v="487"/>
    <n v="54"/>
    <n v="12012"/>
    <n v="11308"/>
    <n v="367687.44444444444"/>
    <x v="2"/>
  </r>
  <r>
    <d v="2020-05-14T00:00:00"/>
    <x v="13"/>
    <n v="186496.5"/>
    <x v="488"/>
    <n v="54"/>
    <n v="11194"/>
    <n v="10554"/>
    <n v="345203.66666666669"/>
    <x v="1"/>
  </r>
  <r>
    <d v="2020-05-15T00:00:00"/>
    <x v="13"/>
    <n v="219772.5"/>
    <x v="489"/>
    <n v="54"/>
    <n v="12791"/>
    <n v="11950"/>
    <n v="405468.41666666669"/>
    <x v="1"/>
  </r>
  <r>
    <d v="2020-05-29T00:00:00"/>
    <x v="13"/>
    <n v="226476"/>
    <x v="490"/>
    <n v="54"/>
    <n v="14031"/>
    <n v="12943"/>
    <n v="415113.91666666669"/>
    <x v="0"/>
  </r>
  <r>
    <d v="2020-05-27T00:00:00"/>
    <x v="15"/>
    <n v="8362.5"/>
    <x v="491"/>
    <n v="7"/>
    <n v="409"/>
    <n v="329"/>
    <n v="98240.571428571435"/>
    <x v="0"/>
  </r>
  <r>
    <d v="2020-05-22T00:00:00"/>
    <x v="14"/>
    <n v="17008.5"/>
    <x v="492"/>
    <n v="18"/>
    <n v="985"/>
    <n v="861"/>
    <n v="77709.5"/>
    <x v="2"/>
  </r>
  <r>
    <d v="2020-06-01T00:00:00"/>
    <x v="16"/>
    <n v="5166"/>
    <x v="493"/>
    <n v="9"/>
    <n v="294"/>
    <n v="224"/>
    <n v="43223.666666666664"/>
    <x v="5"/>
  </r>
  <r>
    <d v="2020-05-11T00:00:00"/>
    <x v="14"/>
    <n v="10941"/>
    <x v="494"/>
    <n v="15"/>
    <n v="654"/>
    <n v="564"/>
    <n v="58690.400000000001"/>
    <x v="1"/>
  </r>
  <r>
    <d v="2020-05-18T00:00:00"/>
    <x v="14"/>
    <n v="14497.5"/>
    <x v="495"/>
    <n v="16"/>
    <n v="864"/>
    <n v="765"/>
    <n v="76919.4375"/>
    <x v="2"/>
  </r>
  <r>
    <d v="2020-05-14T00:00:00"/>
    <x v="14"/>
    <n v="13810.5"/>
    <x v="496"/>
    <n v="16"/>
    <n v="834"/>
    <n v="735"/>
    <n v="70729.78125"/>
    <x v="1"/>
  </r>
  <r>
    <d v="2020-05-15T00:00:00"/>
    <x v="14"/>
    <n v="13752"/>
    <x v="497"/>
    <n v="16"/>
    <n v="817"/>
    <n v="718"/>
    <n v="68190"/>
    <x v="1"/>
  </r>
  <r>
    <d v="2020-05-27T00:00:00"/>
    <x v="14"/>
    <n v="15276"/>
    <x v="498"/>
    <n v="18"/>
    <n v="962"/>
    <n v="859"/>
    <n v="75011.083333333328"/>
    <x v="0"/>
  </r>
  <r>
    <d v="2020-06-01T00:00:00"/>
    <x v="17"/>
    <n v="4408.5"/>
    <x v="499"/>
    <n v="6"/>
    <n v="237"/>
    <n v="175"/>
    <n v="68482"/>
    <x v="5"/>
  </r>
  <r>
    <d v="2020-05-29T00:00:00"/>
    <x v="15"/>
    <n v="9927"/>
    <x v="500"/>
    <n v="7"/>
    <n v="491"/>
    <n v="411"/>
    <n v="121548.64285714286"/>
    <x v="0"/>
  </r>
  <r>
    <d v="2020-06-01T00:00:00"/>
    <x v="15"/>
    <n v="9474"/>
    <x v="501"/>
    <n v="7"/>
    <n v="500"/>
    <n v="418"/>
    <n v="114635.35714285714"/>
    <x v="5"/>
  </r>
  <r>
    <d v="2020-05-29T00:00:00"/>
    <x v="14"/>
    <n v="16878"/>
    <x v="502"/>
    <n v="18"/>
    <n v="1014"/>
    <n v="893"/>
    <n v="79903.083333333328"/>
    <x v="0"/>
  </r>
  <r>
    <d v="2020-06-01T00:00:00"/>
    <x v="14"/>
    <n v="14238"/>
    <x v="503"/>
    <n v="18"/>
    <n v="923"/>
    <n v="824"/>
    <n v="71845.5"/>
    <x v="5"/>
  </r>
  <r>
    <m/>
    <x v="18"/>
    <m/>
    <x v="504"/>
    <m/>
    <m/>
    <m/>
    <m/>
    <x v="6"/>
  </r>
  <r>
    <m/>
    <x v="18"/>
    <m/>
    <x v="504"/>
    <m/>
    <m/>
    <m/>
    <m/>
    <x v="6"/>
  </r>
  <r>
    <m/>
    <x v="18"/>
    <m/>
    <x v="504"/>
    <m/>
    <m/>
    <m/>
    <m/>
    <x v="6"/>
  </r>
  <r>
    <m/>
    <x v="18"/>
    <m/>
    <x v="504"/>
    <m/>
    <m/>
    <m/>
    <m/>
    <x v="6"/>
  </r>
  <r>
    <m/>
    <x v="18"/>
    <m/>
    <x v="504"/>
    <m/>
    <m/>
    <m/>
    <m/>
    <x v="6"/>
  </r>
  <r>
    <m/>
    <x v="18"/>
    <m/>
    <x v="504"/>
    <m/>
    <m/>
    <m/>
    <m/>
    <x v="6"/>
  </r>
  <r>
    <m/>
    <x v="18"/>
    <m/>
    <x v="504"/>
    <m/>
    <m/>
    <m/>
    <m/>
    <x v="6"/>
  </r>
  <r>
    <m/>
    <x v="18"/>
    <m/>
    <x v="504"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BB080-A00E-4B00-A175-863AEE8A16DA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:F10" firstHeaderRow="0" firstDataRow="1" firstDataCol="1"/>
  <pivotFields count="9">
    <pivotField showAll="0"/>
    <pivotField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</pivotField>
    <pivotField showAll="0"/>
    <pivotField dataField="1"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showAll="0"/>
    <pivotField showAll="0"/>
    <pivotField showAll="0"/>
    <pivotField dataField="1" showAll="0"/>
    <pivotField axis="axisRow" multipleItemSelectionAllowed="1" showAll="0" includeNewItemsInFilter="1">
      <items count="8">
        <item x="4"/>
        <item x="3"/>
        <item x="1"/>
        <item x="2"/>
        <item x="0"/>
        <item x="5"/>
        <item h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 (руб)" fld="3" baseField="8" baseItem="0"/>
    <dataField name="Товарооборот на склад (руб)" fld="7" baseField="8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F97CD-330E-45F2-A79A-F809229124F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 rowPageCount="1" colPageCount="1"/>
  <pivotFields count="9">
    <pivotField showAll="0"/>
    <pivotField axis="axisRow" showAll="0" measureFilter="1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showAll="0"/>
    <pivotField showAll="0"/>
    <pivotField showAll="0"/>
    <pivotField dataField="1" showAll="0"/>
    <pivotField axis="axisPage" multipleItemSelectionAllowed="1" showAll="0" includeNewItemsInFilter="1">
      <items count="8">
        <item h="1" x="4"/>
        <item h="1" x="3"/>
        <item h="1" x="1"/>
        <item h="1" x="2"/>
        <item h="1" x="0"/>
        <item x="5"/>
        <item h="1" x="6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 hier="-1"/>
  </pageFields>
  <dataFields count="1">
    <dataField name="Sum of Товарооборот на склад" fld="7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79ED2-07E8-4CDE-BCDF-4C7165E8058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9">
    <pivotField showAll="0"/>
    <pivotField axis="axisRow" showAll="0" measureFilter="1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showAll="0"/>
    <pivotField showAll="0"/>
    <pivotField showAll="0"/>
    <pivotField showAll="0"/>
    <pivotField axis="axisPage" multipleItemSelectionAllowed="1" showAll="0" includeNewItemsInFilter="1">
      <items count="8">
        <item h="1" x="4"/>
        <item h="1" x="3"/>
        <item h="1" x="1"/>
        <item h="1" x="2"/>
        <item h="1" x="0"/>
        <item x="5"/>
        <item h="1" x="6"/>
        <item t="default"/>
      </items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Items count="1">
    <i/>
  </colItems>
  <pageFields count="1">
    <pageField fld="8" hier="-1"/>
  </pageFields>
  <dataFields count="1">
    <dataField name="Sum of Товарооборот, руб" fld="3" showDataAs="percentOfTota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79ED-2993-4FEF-BA6A-1BB938FF165F}">
  <dimension ref="A1:F18"/>
  <sheetViews>
    <sheetView workbookViewId="0">
      <selection activeCell="D1" sqref="D1"/>
    </sheetView>
  </sheetViews>
  <sheetFormatPr defaultRowHeight="15" x14ac:dyDescent="0.25"/>
  <cols>
    <col min="1" max="1" width="22.85546875" bestFit="1" customWidth="1"/>
    <col min="2" max="2" width="29.42578125" bestFit="1" customWidth="1"/>
    <col min="3" max="3" width="26.5703125" bestFit="1" customWidth="1"/>
    <col min="4" max="4" width="13.140625" bestFit="1" customWidth="1"/>
    <col min="5" max="5" width="19.42578125" bestFit="1" customWidth="1"/>
    <col min="6" max="6" width="28" bestFit="1" customWidth="1"/>
    <col min="7" max="7" width="7.28515625" bestFit="1" customWidth="1"/>
    <col min="8" max="8" width="26.5703125" bestFit="1" customWidth="1"/>
    <col min="9" max="12" width="5" bestFit="1" customWidth="1"/>
    <col min="13" max="13" width="4" bestFit="1" customWidth="1"/>
    <col min="14" max="14" width="7.28515625" bestFit="1" customWidth="1"/>
    <col min="15" max="15" width="30.42578125" bestFit="1" customWidth="1"/>
    <col min="16" max="16" width="31.5703125" bestFit="1" customWidth="1"/>
    <col min="17" max="17" width="10" bestFit="1" customWidth="1"/>
    <col min="18" max="18" width="9" bestFit="1" customWidth="1"/>
    <col min="19" max="19" width="7.28515625" bestFit="1" customWidth="1"/>
    <col min="20" max="20" width="26.5703125" bestFit="1" customWidth="1"/>
    <col min="21" max="21" width="13.5703125" bestFit="1" customWidth="1"/>
    <col min="22" max="22" width="7.140625" bestFit="1" customWidth="1"/>
    <col min="23" max="23" width="10.42578125" bestFit="1" customWidth="1"/>
    <col min="24" max="24" width="10.85546875" bestFit="1" customWidth="1"/>
    <col min="25" max="25" width="14.5703125" bestFit="1" customWidth="1"/>
    <col min="26" max="26" width="13.85546875" bestFit="1" customWidth="1"/>
    <col min="27" max="27" width="18" bestFit="1" customWidth="1"/>
    <col min="28" max="28" width="12.85546875" bestFit="1" customWidth="1"/>
    <col min="29" max="29" width="7.140625" bestFit="1" customWidth="1"/>
    <col min="30" max="30" width="15.5703125" bestFit="1" customWidth="1"/>
    <col min="31" max="31" width="7.85546875" bestFit="1" customWidth="1"/>
    <col min="32" max="32" width="22.85546875" bestFit="1" customWidth="1"/>
    <col min="33" max="33" width="19.85546875" bestFit="1" customWidth="1"/>
    <col min="34" max="34" width="9.140625" bestFit="1" customWidth="1"/>
    <col min="35" max="35" width="6.5703125" bestFit="1" customWidth="1"/>
    <col min="36" max="36" width="8.42578125" bestFit="1" customWidth="1"/>
    <col min="37" max="37" width="4.5703125" bestFit="1" customWidth="1"/>
    <col min="38" max="38" width="7.28515625" bestFit="1" customWidth="1"/>
    <col min="39" max="39" width="30.42578125" bestFit="1" customWidth="1"/>
    <col min="40" max="40" width="31.5703125" bestFit="1" customWidth="1"/>
    <col min="41" max="41" width="7" bestFit="1" customWidth="1"/>
    <col min="42" max="44" width="9" bestFit="1" customWidth="1"/>
    <col min="45" max="45" width="7" bestFit="1" customWidth="1"/>
    <col min="46" max="49" width="9" bestFit="1" customWidth="1"/>
    <col min="50" max="50" width="7" bestFit="1" customWidth="1"/>
    <col min="51" max="51" width="9" bestFit="1" customWidth="1"/>
    <col min="52" max="55" width="7" bestFit="1" customWidth="1"/>
    <col min="56" max="56" width="9" bestFit="1" customWidth="1"/>
    <col min="57" max="57" width="7" bestFit="1" customWidth="1"/>
    <col min="58" max="58" width="8" bestFit="1" customWidth="1"/>
    <col min="59" max="59" width="10" bestFit="1" customWidth="1"/>
    <col min="60" max="60" width="8" bestFit="1" customWidth="1"/>
    <col min="61" max="61" width="10" bestFit="1" customWidth="1"/>
    <col min="62" max="65" width="8" bestFit="1" customWidth="1"/>
    <col min="66" max="69" width="10" bestFit="1" customWidth="1"/>
    <col min="70" max="70" width="8" bestFit="1" customWidth="1"/>
    <col min="71" max="71" width="10" bestFit="1" customWidth="1"/>
    <col min="72" max="73" width="8" bestFit="1" customWidth="1"/>
    <col min="74" max="74" width="10" bestFit="1" customWidth="1"/>
    <col min="75" max="76" width="8" bestFit="1" customWidth="1"/>
    <col min="77" max="78" width="10" bestFit="1" customWidth="1"/>
    <col min="79" max="79" width="8" bestFit="1" customWidth="1"/>
    <col min="80" max="84" width="10" bestFit="1" customWidth="1"/>
    <col min="85" max="85" width="8" bestFit="1" customWidth="1"/>
    <col min="86" max="89" width="10" bestFit="1" customWidth="1"/>
    <col min="90" max="90" width="8" bestFit="1" customWidth="1"/>
    <col min="91" max="92" width="10" bestFit="1" customWidth="1"/>
    <col min="93" max="97" width="8" bestFit="1" customWidth="1"/>
    <col min="98" max="99" width="10" bestFit="1" customWidth="1"/>
    <col min="100" max="102" width="8" bestFit="1" customWidth="1"/>
    <col min="103" max="103" width="10" bestFit="1" customWidth="1"/>
    <col min="104" max="105" width="8" bestFit="1" customWidth="1"/>
    <col min="106" max="106" width="10" bestFit="1" customWidth="1"/>
    <col min="107" max="109" width="8" bestFit="1" customWidth="1"/>
    <col min="110" max="112" width="10" bestFit="1" customWidth="1"/>
    <col min="113" max="116" width="8" bestFit="1" customWidth="1"/>
    <col min="117" max="118" width="10" bestFit="1" customWidth="1"/>
    <col min="119" max="119" width="8" bestFit="1" customWidth="1"/>
    <col min="120" max="121" width="10" bestFit="1" customWidth="1"/>
    <col min="122" max="122" width="8" bestFit="1" customWidth="1"/>
    <col min="123" max="125" width="10" bestFit="1" customWidth="1"/>
    <col min="126" max="126" width="8" bestFit="1" customWidth="1"/>
    <col min="127" max="127" width="10" bestFit="1" customWidth="1"/>
    <col min="128" max="129" width="8" bestFit="1" customWidth="1"/>
    <col min="130" max="131" width="10" bestFit="1" customWidth="1"/>
    <col min="132" max="132" width="8" bestFit="1" customWidth="1"/>
    <col min="133" max="135" width="10" bestFit="1" customWidth="1"/>
    <col min="136" max="137" width="8" bestFit="1" customWidth="1"/>
    <col min="138" max="138" width="10" bestFit="1" customWidth="1"/>
    <col min="139" max="139" width="8" bestFit="1" customWidth="1"/>
    <col min="140" max="142" width="10" bestFit="1" customWidth="1"/>
    <col min="143" max="144" width="8" bestFit="1" customWidth="1"/>
    <col min="145" max="150" width="10" bestFit="1" customWidth="1"/>
    <col min="151" max="151" width="8" bestFit="1" customWidth="1"/>
    <col min="152" max="152" width="10" bestFit="1" customWidth="1"/>
    <col min="153" max="153" width="8" bestFit="1" customWidth="1"/>
    <col min="154" max="155" width="10" bestFit="1" customWidth="1"/>
    <col min="156" max="157" width="8" bestFit="1" customWidth="1"/>
    <col min="158" max="158" width="10" bestFit="1" customWidth="1"/>
    <col min="159" max="159" width="8" bestFit="1" customWidth="1"/>
    <col min="160" max="160" width="10" bestFit="1" customWidth="1"/>
    <col min="161" max="161" width="8" bestFit="1" customWidth="1"/>
    <col min="162" max="164" width="10" bestFit="1" customWidth="1"/>
    <col min="165" max="167" width="8" bestFit="1" customWidth="1"/>
    <col min="168" max="168" width="10" bestFit="1" customWidth="1"/>
    <col min="169" max="169" width="8" bestFit="1" customWidth="1"/>
    <col min="170" max="170" width="10" bestFit="1" customWidth="1"/>
    <col min="171" max="171" width="8" bestFit="1" customWidth="1"/>
    <col min="172" max="172" width="10" bestFit="1" customWidth="1"/>
    <col min="173" max="173" width="8" bestFit="1" customWidth="1"/>
    <col min="174" max="175" width="10" bestFit="1" customWidth="1"/>
    <col min="176" max="177" width="8" bestFit="1" customWidth="1"/>
    <col min="178" max="178" width="10" bestFit="1" customWidth="1"/>
    <col min="179" max="179" width="8" bestFit="1" customWidth="1"/>
    <col min="180" max="180" width="10" bestFit="1" customWidth="1"/>
    <col min="181" max="183" width="8" bestFit="1" customWidth="1"/>
    <col min="184" max="184" width="10" bestFit="1" customWidth="1"/>
    <col min="185" max="185" width="8" bestFit="1" customWidth="1"/>
    <col min="186" max="186" width="10" bestFit="1" customWidth="1"/>
    <col min="187" max="188" width="8" bestFit="1" customWidth="1"/>
    <col min="189" max="189" width="10" bestFit="1" customWidth="1"/>
    <col min="190" max="190" width="8" bestFit="1" customWidth="1"/>
    <col min="191" max="192" width="10" bestFit="1" customWidth="1"/>
    <col min="193" max="194" width="8" bestFit="1" customWidth="1"/>
    <col min="195" max="195" width="10" bestFit="1" customWidth="1"/>
    <col min="196" max="198" width="8" bestFit="1" customWidth="1"/>
    <col min="199" max="199" width="10" bestFit="1" customWidth="1"/>
    <col min="200" max="200" width="8" bestFit="1" customWidth="1"/>
    <col min="201" max="201" width="10" bestFit="1" customWidth="1"/>
    <col min="202" max="203" width="8" bestFit="1" customWidth="1"/>
    <col min="204" max="205" width="10" bestFit="1" customWidth="1"/>
    <col min="206" max="210" width="8" bestFit="1" customWidth="1"/>
    <col min="211" max="211" width="10" bestFit="1" customWidth="1"/>
    <col min="212" max="213" width="8" bestFit="1" customWidth="1"/>
    <col min="214" max="214" width="10" bestFit="1" customWidth="1"/>
    <col min="215" max="216" width="8" bestFit="1" customWidth="1"/>
    <col min="217" max="222" width="10" bestFit="1" customWidth="1"/>
    <col min="223" max="224" width="8" bestFit="1" customWidth="1"/>
    <col min="225" max="232" width="10" bestFit="1" customWidth="1"/>
    <col min="233" max="235" width="8" bestFit="1" customWidth="1"/>
    <col min="236" max="237" width="10" bestFit="1" customWidth="1"/>
    <col min="238" max="238" width="8" bestFit="1" customWidth="1"/>
    <col min="239" max="240" width="10" bestFit="1" customWidth="1"/>
    <col min="241" max="242" width="8" bestFit="1" customWidth="1"/>
    <col min="243" max="243" width="10" bestFit="1" customWidth="1"/>
    <col min="244" max="246" width="8" bestFit="1" customWidth="1"/>
    <col min="247" max="247" width="10" bestFit="1" customWidth="1"/>
    <col min="248" max="249" width="8" bestFit="1" customWidth="1"/>
    <col min="250" max="250" width="10" bestFit="1" customWidth="1"/>
    <col min="251" max="251" width="8" bestFit="1" customWidth="1"/>
    <col min="252" max="257" width="10" bestFit="1" customWidth="1"/>
    <col min="258" max="260" width="8" bestFit="1" customWidth="1"/>
    <col min="261" max="261" width="10" bestFit="1" customWidth="1"/>
    <col min="262" max="262" width="8" bestFit="1" customWidth="1"/>
    <col min="263" max="264" width="10" bestFit="1" customWidth="1"/>
    <col min="265" max="266" width="8" bestFit="1" customWidth="1"/>
    <col min="267" max="267" width="10" bestFit="1" customWidth="1"/>
    <col min="268" max="268" width="8" bestFit="1" customWidth="1"/>
    <col min="269" max="269" width="10" bestFit="1" customWidth="1"/>
    <col min="270" max="271" width="8" bestFit="1" customWidth="1"/>
    <col min="272" max="272" width="10" bestFit="1" customWidth="1"/>
    <col min="273" max="273" width="8" bestFit="1" customWidth="1"/>
    <col min="274" max="278" width="10" bestFit="1" customWidth="1"/>
    <col min="279" max="279" width="8" bestFit="1" customWidth="1"/>
    <col min="280" max="280" width="10" bestFit="1" customWidth="1"/>
    <col min="281" max="281" width="8" bestFit="1" customWidth="1"/>
    <col min="282" max="282" width="10" bestFit="1" customWidth="1"/>
    <col min="283" max="284" width="8" bestFit="1" customWidth="1"/>
    <col min="285" max="285" width="10" bestFit="1" customWidth="1"/>
    <col min="286" max="287" width="8" bestFit="1" customWidth="1"/>
    <col min="288" max="289" width="10" bestFit="1" customWidth="1"/>
    <col min="290" max="291" width="8" bestFit="1" customWidth="1"/>
    <col min="292" max="294" width="10" bestFit="1" customWidth="1"/>
    <col min="295" max="295" width="8" bestFit="1" customWidth="1"/>
    <col min="296" max="302" width="10" bestFit="1" customWidth="1"/>
    <col min="303" max="304" width="8" bestFit="1" customWidth="1"/>
    <col min="305" max="305" width="10" bestFit="1" customWidth="1"/>
    <col min="306" max="307" width="8" bestFit="1" customWidth="1"/>
    <col min="308" max="308" width="10" bestFit="1" customWidth="1"/>
    <col min="309" max="309" width="8" bestFit="1" customWidth="1"/>
    <col min="310" max="310" width="10" bestFit="1" customWidth="1"/>
    <col min="311" max="312" width="8" bestFit="1" customWidth="1"/>
    <col min="313" max="313" width="10" bestFit="1" customWidth="1"/>
    <col min="314" max="316" width="8" bestFit="1" customWidth="1"/>
    <col min="317" max="318" width="10" bestFit="1" customWidth="1"/>
    <col min="319" max="320" width="8" bestFit="1" customWidth="1"/>
    <col min="321" max="321" width="10" bestFit="1" customWidth="1"/>
    <col min="322" max="324" width="8" bestFit="1" customWidth="1"/>
    <col min="325" max="325" width="10" bestFit="1" customWidth="1"/>
    <col min="326" max="327" width="8" bestFit="1" customWidth="1"/>
    <col min="328" max="329" width="10" bestFit="1" customWidth="1"/>
    <col min="330" max="330" width="8" bestFit="1" customWidth="1"/>
    <col min="331" max="332" width="10" bestFit="1" customWidth="1"/>
    <col min="333" max="335" width="8" bestFit="1" customWidth="1"/>
    <col min="336" max="338" width="10" bestFit="1" customWidth="1"/>
    <col min="339" max="340" width="8" bestFit="1" customWidth="1"/>
    <col min="341" max="344" width="10" bestFit="1" customWidth="1"/>
    <col min="345" max="345" width="8" bestFit="1" customWidth="1"/>
    <col min="346" max="346" width="10" bestFit="1" customWidth="1"/>
    <col min="347" max="348" width="8" bestFit="1" customWidth="1"/>
    <col min="349" max="349" width="10" bestFit="1" customWidth="1"/>
    <col min="350" max="350" width="8" bestFit="1" customWidth="1"/>
    <col min="351" max="351" width="10" bestFit="1" customWidth="1"/>
    <col min="352" max="352" width="8" bestFit="1" customWidth="1"/>
    <col min="353" max="353" width="10" bestFit="1" customWidth="1"/>
    <col min="354" max="356" width="8" bestFit="1" customWidth="1"/>
    <col min="357" max="359" width="10" bestFit="1" customWidth="1"/>
    <col min="360" max="361" width="8" bestFit="1" customWidth="1"/>
    <col min="362" max="364" width="10" bestFit="1" customWidth="1"/>
    <col min="365" max="366" width="9" bestFit="1" customWidth="1"/>
    <col min="367" max="367" width="11" bestFit="1" customWidth="1"/>
    <col min="368" max="368" width="9" bestFit="1" customWidth="1"/>
    <col min="369" max="369" width="11" bestFit="1" customWidth="1"/>
    <col min="370" max="370" width="9" bestFit="1" customWidth="1"/>
    <col min="371" max="373" width="11" bestFit="1" customWidth="1"/>
    <col min="374" max="374" width="9" bestFit="1" customWidth="1"/>
    <col min="375" max="376" width="11" bestFit="1" customWidth="1"/>
    <col min="377" max="377" width="9" bestFit="1" customWidth="1"/>
    <col min="378" max="378" width="11" bestFit="1" customWidth="1"/>
    <col min="379" max="379" width="9" bestFit="1" customWidth="1"/>
    <col min="380" max="380" width="11" bestFit="1" customWidth="1"/>
    <col min="381" max="383" width="9" bestFit="1" customWidth="1"/>
    <col min="384" max="384" width="11" bestFit="1" customWidth="1"/>
    <col min="385" max="385" width="9" bestFit="1" customWidth="1"/>
    <col min="386" max="398" width="11" bestFit="1" customWidth="1"/>
    <col min="399" max="399" width="9" bestFit="1" customWidth="1"/>
    <col min="400" max="400" width="11" bestFit="1" customWidth="1"/>
    <col min="401" max="402" width="9" bestFit="1" customWidth="1"/>
    <col min="403" max="404" width="11" bestFit="1" customWidth="1"/>
    <col min="405" max="406" width="9" bestFit="1" customWidth="1"/>
    <col min="407" max="407" width="11" bestFit="1" customWidth="1"/>
    <col min="408" max="408" width="9" bestFit="1" customWidth="1"/>
    <col min="409" max="412" width="11" bestFit="1" customWidth="1"/>
    <col min="413" max="414" width="9" bestFit="1" customWidth="1"/>
    <col min="415" max="416" width="11" bestFit="1" customWidth="1"/>
    <col min="417" max="418" width="9" bestFit="1" customWidth="1"/>
    <col min="419" max="419" width="11" bestFit="1" customWidth="1"/>
    <col min="420" max="422" width="9" bestFit="1" customWidth="1"/>
    <col min="423" max="423" width="11" bestFit="1" customWidth="1"/>
    <col min="424" max="426" width="9" bestFit="1" customWidth="1"/>
    <col min="427" max="428" width="11" bestFit="1" customWidth="1"/>
    <col min="429" max="429" width="12" bestFit="1" customWidth="1"/>
    <col min="430" max="431" width="11" bestFit="1" customWidth="1"/>
    <col min="432" max="433" width="9" bestFit="1" customWidth="1"/>
    <col min="434" max="437" width="11" bestFit="1" customWidth="1"/>
    <col min="438" max="439" width="9" bestFit="1" customWidth="1"/>
    <col min="440" max="440" width="11" bestFit="1" customWidth="1"/>
    <col min="441" max="442" width="12" bestFit="1" customWidth="1"/>
    <col min="443" max="443" width="11" bestFit="1" customWidth="1"/>
    <col min="444" max="444" width="9" bestFit="1" customWidth="1"/>
    <col min="445" max="445" width="11" bestFit="1" customWidth="1"/>
    <col min="446" max="446" width="12" bestFit="1" customWidth="1"/>
    <col min="447" max="449" width="9" bestFit="1" customWidth="1"/>
    <col min="450" max="450" width="11" bestFit="1" customWidth="1"/>
    <col min="451" max="451" width="12" bestFit="1" customWidth="1"/>
    <col min="452" max="452" width="9" bestFit="1" customWidth="1"/>
    <col min="453" max="453" width="11" bestFit="1" customWidth="1"/>
    <col min="454" max="456" width="9" bestFit="1" customWidth="1"/>
    <col min="457" max="457" width="12" bestFit="1" customWidth="1"/>
    <col min="458" max="458" width="9" bestFit="1" customWidth="1"/>
    <col min="459" max="459" width="12" bestFit="1" customWidth="1"/>
    <col min="460" max="460" width="9" bestFit="1" customWidth="1"/>
    <col min="461" max="462" width="11" bestFit="1" customWidth="1"/>
    <col min="463" max="468" width="9" bestFit="1" customWidth="1"/>
    <col min="469" max="469" width="12" bestFit="1" customWidth="1"/>
    <col min="470" max="470" width="9" bestFit="1" customWidth="1"/>
    <col min="471" max="472" width="11" bestFit="1" customWidth="1"/>
    <col min="473" max="476" width="9" bestFit="1" customWidth="1"/>
    <col min="477" max="477" width="11" bestFit="1" customWidth="1"/>
    <col min="478" max="479" width="12" bestFit="1" customWidth="1"/>
    <col min="480" max="482" width="11" bestFit="1" customWidth="1"/>
    <col min="483" max="483" width="9" bestFit="1" customWidth="1"/>
    <col min="484" max="485" width="11" bestFit="1" customWidth="1"/>
    <col min="486" max="488" width="9" bestFit="1" customWidth="1"/>
    <col min="489" max="489" width="11" bestFit="1" customWidth="1"/>
    <col min="490" max="490" width="9" bestFit="1" customWidth="1"/>
    <col min="491" max="491" width="11" bestFit="1" customWidth="1"/>
    <col min="492" max="493" width="9" bestFit="1" customWidth="1"/>
    <col min="494" max="495" width="11" bestFit="1" customWidth="1"/>
    <col min="496" max="496" width="9" bestFit="1" customWidth="1"/>
    <col min="497" max="497" width="12" bestFit="1" customWidth="1"/>
    <col min="498" max="499" width="9" bestFit="1" customWidth="1"/>
    <col min="500" max="500" width="11" bestFit="1" customWidth="1"/>
    <col min="501" max="502" width="9" bestFit="1" customWidth="1"/>
    <col min="503" max="503" width="11" bestFit="1" customWidth="1"/>
    <col min="504" max="504" width="9" bestFit="1" customWidth="1"/>
    <col min="505" max="505" width="7.28515625" bestFit="1" customWidth="1"/>
    <col min="506" max="506" width="11.28515625" bestFit="1" customWidth="1"/>
  </cols>
  <sheetData>
    <row r="1" spans="1:6" x14ac:dyDescent="0.25">
      <c r="A1" s="15" t="s">
        <v>8</v>
      </c>
      <c r="B1" s="16">
        <v>23</v>
      </c>
      <c r="D1" s="16">
        <v>1.2</v>
      </c>
    </row>
    <row r="3" spans="1:6" x14ac:dyDescent="0.25">
      <c r="A3" s="15" t="s">
        <v>532</v>
      </c>
      <c r="B3" t="s">
        <v>534</v>
      </c>
      <c r="D3" s="15" t="s">
        <v>532</v>
      </c>
      <c r="E3" t="s">
        <v>536</v>
      </c>
      <c r="F3" t="s">
        <v>537</v>
      </c>
    </row>
    <row r="4" spans="1:6" x14ac:dyDescent="0.25">
      <c r="A4" s="16" t="s">
        <v>15</v>
      </c>
      <c r="B4" s="17">
        <v>0.44095612192448397</v>
      </c>
      <c r="D4" s="16">
        <v>18</v>
      </c>
      <c r="E4" s="13">
        <v>836803032</v>
      </c>
      <c r="F4" s="13">
        <v>15050189.484421248</v>
      </c>
    </row>
    <row r="5" spans="1:6" x14ac:dyDescent="0.25">
      <c r="A5" s="16" t="s">
        <v>14</v>
      </c>
      <c r="B5" s="17">
        <v>0.32866618769849743</v>
      </c>
      <c r="D5" s="16">
        <v>19</v>
      </c>
      <c r="E5" s="13">
        <v>983915409.85664999</v>
      </c>
      <c r="F5" s="13">
        <v>17810866.503784601</v>
      </c>
    </row>
    <row r="6" spans="1:6" x14ac:dyDescent="0.25">
      <c r="A6" s="16" t="s">
        <v>21</v>
      </c>
      <c r="B6" s="17">
        <v>0.23037769037701872</v>
      </c>
      <c r="D6" s="16">
        <v>20</v>
      </c>
      <c r="E6" s="13">
        <v>947263006.72395003</v>
      </c>
      <c r="F6" s="13">
        <v>17504431.254499577</v>
      </c>
    </row>
    <row r="7" spans="1:6" x14ac:dyDescent="0.25">
      <c r="A7" s="16" t="s">
        <v>533</v>
      </c>
      <c r="B7" s="17">
        <v>1</v>
      </c>
      <c r="D7" s="16">
        <v>21</v>
      </c>
      <c r="E7" s="13">
        <v>1002691883.0466</v>
      </c>
      <c r="F7" s="13">
        <v>18752594.736982953</v>
      </c>
    </row>
    <row r="8" spans="1:6" x14ac:dyDescent="0.25">
      <c r="D8" s="16">
        <v>22</v>
      </c>
      <c r="E8" s="13">
        <v>1055653508.75385</v>
      </c>
      <c r="F8" s="13">
        <v>20458986.916362662</v>
      </c>
    </row>
    <row r="9" spans="1:6" x14ac:dyDescent="0.25">
      <c r="D9" s="16">
        <v>23</v>
      </c>
      <c r="E9" s="13">
        <v>136032376.68134999</v>
      </c>
      <c r="F9" s="13">
        <v>2786041.4356766073</v>
      </c>
    </row>
    <row r="10" spans="1:6" x14ac:dyDescent="0.25">
      <c r="D10" s="16" t="s">
        <v>533</v>
      </c>
      <c r="E10" s="13">
        <v>4962359217.0623999</v>
      </c>
      <c r="F10" s="13">
        <v>92363110.331727639</v>
      </c>
    </row>
    <row r="12" spans="1:6" x14ac:dyDescent="0.25">
      <c r="A12" s="15" t="s">
        <v>8</v>
      </c>
      <c r="B12" s="16">
        <v>23</v>
      </c>
    </row>
    <row r="14" spans="1:6" x14ac:dyDescent="0.25">
      <c r="A14" s="15" t="s">
        <v>532</v>
      </c>
      <c r="B14" t="s">
        <v>535</v>
      </c>
    </row>
    <row r="15" spans="1:6" x14ac:dyDescent="0.25">
      <c r="A15" s="16" t="s">
        <v>22</v>
      </c>
      <c r="B15" s="13">
        <v>350262.86111111112</v>
      </c>
    </row>
    <row r="16" spans="1:6" x14ac:dyDescent="0.25">
      <c r="A16" s="16" t="s">
        <v>21</v>
      </c>
      <c r="B16" s="13">
        <v>329921.56779661018</v>
      </c>
    </row>
    <row r="17" spans="1:2" x14ac:dyDescent="0.25">
      <c r="A17" s="16" t="s">
        <v>15</v>
      </c>
      <c r="B17" s="13">
        <v>302909.26976707316</v>
      </c>
    </row>
    <row r="18" spans="1:2" x14ac:dyDescent="0.25">
      <c r="A18" s="16" t="s">
        <v>533</v>
      </c>
      <c r="B18" s="13">
        <v>983093.69867479452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E2" sqref="E2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5" width="21.7109375" customWidth="1"/>
    <col min="6" max="6" width="22" customWidth="1"/>
    <col min="7" max="7" width="20.28515625" customWidth="1"/>
    <col min="8" max="8" width="21.7109375" customWidth="1"/>
    <col min="9" max="9" width="22" customWidth="1"/>
    <col min="10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6">
        <f>VLOOKUP(J2,Лист2!$F:$I,2)</f>
        <v>15</v>
      </c>
      <c r="F2" s="6">
        <f>VLOOKUP(J2,Лист2!$F:$I,3)</f>
        <v>441</v>
      </c>
      <c r="G2" s="6">
        <f>VLOOKUP(J2,Лист2!$F:$I,4)</f>
        <v>368</v>
      </c>
      <c r="H2" s="6">
        <f>D2/E2</f>
        <v>41598.1</v>
      </c>
      <c r="I2" s="6">
        <f>WEEKNUM(A2,2)</f>
        <v>22</v>
      </c>
      <c r="J2" s="4" t="s">
        <v>28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 s="9">
        <f>VLOOKUP(J3,Лист2!$F:$I,2)</f>
        <v>15</v>
      </c>
      <c r="F3" s="9">
        <f>VLOOKUP(J3,Лист2!$F:$I,3)</f>
        <v>490</v>
      </c>
      <c r="G3" s="9">
        <f>VLOOKUP(J3,Лист2!$F:$I,4)</f>
        <v>409</v>
      </c>
      <c r="H3" s="9">
        <f t="shared" ref="H3:H66" si="0">D3/E3</f>
        <v>52473.4</v>
      </c>
      <c r="I3" s="9">
        <f t="shared" ref="I3:I66" si="1">WEEKNUM(A3,2)</f>
        <v>22</v>
      </c>
      <c r="J3" s="4" t="s">
        <v>29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6">
        <f>VLOOKUP(J4,Лист2!$F:$I,2)</f>
        <v>15</v>
      </c>
      <c r="F4" s="6">
        <f>VLOOKUP(J4,Лист2!$F:$I,3)</f>
        <v>464</v>
      </c>
      <c r="G4" s="6">
        <f>VLOOKUP(J4,Лист2!$F:$I,4)</f>
        <v>390</v>
      </c>
      <c r="H4" s="6">
        <f t="shared" si="0"/>
        <v>42929.599999999999</v>
      </c>
      <c r="I4" s="6">
        <f t="shared" si="1"/>
        <v>22</v>
      </c>
      <c r="J4" s="4" t="s">
        <v>30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 s="9">
        <f>VLOOKUP(J5,Лист2!$F:$I,2)</f>
        <v>21</v>
      </c>
      <c r="F5" s="9">
        <f>VLOOKUP(J5,Лист2!$F:$I,3)</f>
        <v>2145</v>
      </c>
      <c r="G5" s="9">
        <f>VLOOKUP(J5,Лист2!$F:$I,4)</f>
        <v>1947</v>
      </c>
      <c r="H5" s="9">
        <f t="shared" si="0"/>
        <v>161709.14285714287</v>
      </c>
      <c r="I5" s="9">
        <f t="shared" si="1"/>
        <v>20</v>
      </c>
      <c r="J5" s="4" t="s">
        <v>31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6">
        <f>VLOOKUP(J6,Лист2!$F:$I,2)</f>
        <v>21</v>
      </c>
      <c r="F6" s="6">
        <f>VLOOKUP(J6,Лист2!$F:$I,3)</f>
        <v>1860</v>
      </c>
      <c r="G6" s="6">
        <f>VLOOKUP(J6,Лист2!$F:$I,4)</f>
        <v>1704</v>
      </c>
      <c r="H6" s="6">
        <f t="shared" si="0"/>
        <v>131957.92857142858</v>
      </c>
      <c r="I6" s="6">
        <f t="shared" si="1"/>
        <v>21</v>
      </c>
      <c r="J6" s="4" t="s">
        <v>32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 s="9">
        <f>VLOOKUP(J7,Лист2!$F:$I,2)</f>
        <v>21</v>
      </c>
      <c r="F7" s="9">
        <f>VLOOKUP(J7,Лист2!$F:$I,3)</f>
        <v>1874</v>
      </c>
      <c r="G7" s="9">
        <f>VLOOKUP(J7,Лист2!$F:$I,4)</f>
        <v>1705</v>
      </c>
      <c r="H7" s="9">
        <f t="shared" si="0"/>
        <v>137259.92857142858</v>
      </c>
      <c r="I7" s="9">
        <f t="shared" si="1"/>
        <v>20</v>
      </c>
      <c r="J7" s="4" t="s">
        <v>33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6">
        <f>VLOOKUP(J8,Лист2!$F:$I,2)</f>
        <v>21</v>
      </c>
      <c r="F8" s="6">
        <f>VLOOKUP(J8,Лист2!$F:$I,3)</f>
        <v>1735</v>
      </c>
      <c r="G8" s="6">
        <f>VLOOKUP(J8,Лист2!$F:$I,4)</f>
        <v>1568</v>
      </c>
      <c r="H8" s="6">
        <f t="shared" si="0"/>
        <v>134810.42857142858</v>
      </c>
      <c r="I8" s="6">
        <f t="shared" si="1"/>
        <v>19</v>
      </c>
      <c r="J8" s="4" t="s">
        <v>34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 s="9">
        <f>VLOOKUP(J9,Лист2!$F:$I,2)</f>
        <v>20</v>
      </c>
      <c r="F9" s="9">
        <f>VLOOKUP(J9,Лист2!$F:$I,3)</f>
        <v>1519</v>
      </c>
      <c r="G9" s="9">
        <f>VLOOKUP(J9,Лист2!$F:$I,4)</f>
        <v>1372</v>
      </c>
      <c r="H9" s="9">
        <f t="shared" si="0"/>
        <v>118615.5</v>
      </c>
      <c r="I9" s="9">
        <f t="shared" si="1"/>
        <v>19</v>
      </c>
      <c r="J9" s="4" t="s">
        <v>35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6">
        <f>VLOOKUP(J10,Лист2!$F:$I,2)</f>
        <v>18</v>
      </c>
      <c r="F10" s="6">
        <f>VLOOKUP(J10,Лист2!$F:$I,3)</f>
        <v>1684</v>
      </c>
      <c r="G10" s="6">
        <f>VLOOKUP(J10,Лист2!$F:$I,4)</f>
        <v>1528</v>
      </c>
      <c r="H10" s="6">
        <f t="shared" si="0"/>
        <v>145748.91666666666</v>
      </c>
      <c r="I10" s="6">
        <f t="shared" si="1"/>
        <v>18</v>
      </c>
      <c r="J10" s="4" t="s">
        <v>36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 s="9">
        <f>VLOOKUP(J11,Лист2!$F:$I,2)</f>
        <v>18</v>
      </c>
      <c r="F11" s="9">
        <f>VLOOKUP(J11,Лист2!$F:$I,3)</f>
        <v>1708</v>
      </c>
      <c r="G11" s="9">
        <f>VLOOKUP(J11,Лист2!$F:$I,4)</f>
        <v>1534</v>
      </c>
      <c r="H11" s="9">
        <f t="shared" si="0"/>
        <v>150624.83333333334</v>
      </c>
      <c r="I11" s="9">
        <f t="shared" si="1"/>
        <v>18</v>
      </c>
      <c r="J11" s="4" t="s">
        <v>37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6">
        <f>VLOOKUP(J12,Лист2!$F:$I,2)</f>
        <v>20</v>
      </c>
      <c r="F12" s="6">
        <f>VLOOKUP(J12,Лист2!$F:$I,3)</f>
        <v>2044</v>
      </c>
      <c r="G12" s="6">
        <f>VLOOKUP(J12,Лист2!$F:$I,4)</f>
        <v>1863</v>
      </c>
      <c r="H12" s="6">
        <f t="shared" si="0"/>
        <v>148516.5</v>
      </c>
      <c r="I12" s="6">
        <f t="shared" si="1"/>
        <v>22</v>
      </c>
      <c r="J12" s="4" t="s">
        <v>38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 s="9">
        <f>VLOOKUP(J13,Лист2!$F:$I,2)</f>
        <v>18</v>
      </c>
      <c r="F13" s="9">
        <f>VLOOKUP(J13,Лист2!$F:$I,3)</f>
        <v>1826</v>
      </c>
      <c r="G13" s="9">
        <f>VLOOKUP(J13,Лист2!$F:$I,4)</f>
        <v>1633</v>
      </c>
      <c r="H13" s="9">
        <f t="shared" si="0"/>
        <v>168403</v>
      </c>
      <c r="I13" s="9">
        <f t="shared" si="1"/>
        <v>18</v>
      </c>
      <c r="J13" s="4" t="s">
        <v>39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6">
        <f>VLOOKUP(J14,Лист2!$F:$I,2)</f>
        <v>21</v>
      </c>
      <c r="F14" s="6">
        <f>VLOOKUP(J14,Лист2!$F:$I,3)</f>
        <v>1656</v>
      </c>
      <c r="G14" s="6">
        <f>VLOOKUP(J14,Лист2!$F:$I,4)</f>
        <v>1516</v>
      </c>
      <c r="H14" s="6">
        <f t="shared" si="0"/>
        <v>123608.5</v>
      </c>
      <c r="I14" s="6">
        <f t="shared" si="1"/>
        <v>20</v>
      </c>
      <c r="J14" s="4" t="s">
        <v>40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 s="9">
        <f>VLOOKUP(J15,Лист2!$F:$I,2)</f>
        <v>21</v>
      </c>
      <c r="F15" s="9">
        <f>VLOOKUP(J15,Лист2!$F:$I,3)</f>
        <v>1787</v>
      </c>
      <c r="G15" s="9">
        <f>VLOOKUP(J15,Лист2!$F:$I,4)</f>
        <v>1626</v>
      </c>
      <c r="H15" s="9">
        <f t="shared" si="0"/>
        <v>130684.85714285714</v>
      </c>
      <c r="I15" s="9">
        <f t="shared" si="1"/>
        <v>21</v>
      </c>
      <c r="J15" s="4" t="s">
        <v>41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6">
        <f>VLOOKUP(J16,Лист2!$F:$I,2)</f>
        <v>21</v>
      </c>
      <c r="F16" s="6">
        <f>VLOOKUP(J16,Лист2!$F:$I,3)</f>
        <v>1921</v>
      </c>
      <c r="G16" s="6">
        <f>VLOOKUP(J16,Лист2!$F:$I,4)</f>
        <v>1767</v>
      </c>
      <c r="H16" s="6">
        <f t="shared" si="0"/>
        <v>139491.92857142858</v>
      </c>
      <c r="I16" s="6">
        <f t="shared" si="1"/>
        <v>21</v>
      </c>
      <c r="J16" s="4" t="s">
        <v>42</v>
      </c>
    </row>
    <row r="17" spans="1:10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 s="9">
        <f>VLOOKUP(J17,Лист2!$F:$I,2)</f>
        <v>20</v>
      </c>
      <c r="F17" s="9">
        <f>VLOOKUP(J17,Лист2!$F:$I,3)</f>
        <v>1773</v>
      </c>
      <c r="G17" s="9">
        <f>VLOOKUP(J17,Лист2!$F:$I,4)</f>
        <v>1604</v>
      </c>
      <c r="H17" s="9">
        <f t="shared" si="0"/>
        <v>145338.15</v>
      </c>
      <c r="I17" s="9">
        <f t="shared" si="1"/>
        <v>19</v>
      </c>
      <c r="J17" s="4" t="s">
        <v>43</v>
      </c>
    </row>
    <row r="18" spans="1:10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6">
        <f>VLOOKUP(J18,Лист2!$F:$I,2)</f>
        <v>18</v>
      </c>
      <c r="F18" s="6">
        <f>VLOOKUP(J18,Лист2!$F:$I,3)</f>
        <v>1539</v>
      </c>
      <c r="G18" s="6">
        <f>VLOOKUP(J18,Лист2!$F:$I,4)</f>
        <v>1404</v>
      </c>
      <c r="H18" s="6">
        <f t="shared" si="0"/>
        <v>133977.08333333334</v>
      </c>
      <c r="I18" s="6">
        <f t="shared" si="1"/>
        <v>18</v>
      </c>
      <c r="J18" s="4" t="s">
        <v>44</v>
      </c>
    </row>
    <row r="19" spans="1:10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 s="9">
        <f>VLOOKUP(J19,Лист2!$F:$I,2)</f>
        <v>21</v>
      </c>
      <c r="F19" s="9">
        <f>VLOOKUP(J19,Лист2!$F:$I,3)</f>
        <v>1698</v>
      </c>
      <c r="G19" s="9">
        <f>VLOOKUP(J19,Лист2!$F:$I,4)</f>
        <v>1554</v>
      </c>
      <c r="H19" s="9">
        <f t="shared" si="0"/>
        <v>125227.71428571429</v>
      </c>
      <c r="I19" s="9">
        <f t="shared" si="1"/>
        <v>20</v>
      </c>
      <c r="J19" s="4" t="s">
        <v>45</v>
      </c>
    </row>
    <row r="20" spans="1:10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6">
        <f>VLOOKUP(J20,Лист2!$F:$I,2)</f>
        <v>20</v>
      </c>
      <c r="F20" s="6">
        <f>VLOOKUP(J20,Лист2!$F:$I,3)</f>
        <v>1520</v>
      </c>
      <c r="G20" s="6">
        <f>VLOOKUP(J20,Лист2!$F:$I,4)</f>
        <v>1373</v>
      </c>
      <c r="H20" s="6">
        <f t="shared" si="0"/>
        <v>121745.7</v>
      </c>
      <c r="I20" s="6">
        <f t="shared" si="1"/>
        <v>18</v>
      </c>
      <c r="J20" s="4" t="s">
        <v>46</v>
      </c>
    </row>
    <row r="21" spans="1:10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 s="9">
        <f>VLOOKUP(J21,Лист2!$F:$I,2)</f>
        <v>20</v>
      </c>
      <c r="F21" s="9">
        <f>VLOOKUP(J21,Лист2!$F:$I,3)</f>
        <v>1784</v>
      </c>
      <c r="G21" s="9">
        <f>VLOOKUP(J21,Лист2!$F:$I,4)</f>
        <v>1632</v>
      </c>
      <c r="H21" s="9">
        <f t="shared" si="0"/>
        <v>146931.15</v>
      </c>
      <c r="I21" s="9">
        <f t="shared" si="1"/>
        <v>19</v>
      </c>
      <c r="J21" s="4" t="s">
        <v>47</v>
      </c>
    </row>
    <row r="22" spans="1:10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6">
        <f>VLOOKUP(J22,Лист2!$F:$I,2)</f>
        <v>21</v>
      </c>
      <c r="F22" s="6">
        <f>VLOOKUP(J22,Лист2!$F:$I,3)</f>
        <v>2340</v>
      </c>
      <c r="G22" s="6">
        <f>VLOOKUP(J22,Лист2!$F:$I,4)</f>
        <v>2146</v>
      </c>
      <c r="H22" s="6">
        <f t="shared" si="0"/>
        <v>172796.5</v>
      </c>
      <c r="I22" s="6">
        <f t="shared" si="1"/>
        <v>21</v>
      </c>
      <c r="J22" s="4" t="s">
        <v>48</v>
      </c>
    </row>
    <row r="23" spans="1:10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 s="9">
        <f>VLOOKUP(J23,Лист2!$F:$I,2)</f>
        <v>20</v>
      </c>
      <c r="F23" s="9">
        <f>VLOOKUP(J23,Лист2!$F:$I,3)</f>
        <v>2087</v>
      </c>
      <c r="G23" s="9">
        <f>VLOOKUP(J23,Лист2!$F:$I,4)</f>
        <v>1914</v>
      </c>
      <c r="H23" s="9">
        <f t="shared" si="0"/>
        <v>158829</v>
      </c>
      <c r="I23" s="9">
        <f t="shared" si="1"/>
        <v>22</v>
      </c>
      <c r="J23" s="4" t="s">
        <v>49</v>
      </c>
    </row>
    <row r="24" spans="1:10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6">
        <f>VLOOKUP(J24,Лист2!$F:$I,2)</f>
        <v>19</v>
      </c>
      <c r="F24" s="6">
        <f>VLOOKUP(J24,Лист2!$F:$I,3)</f>
        <v>1712</v>
      </c>
      <c r="G24" s="6">
        <f>VLOOKUP(J24,Лист2!$F:$I,4)</f>
        <v>1552</v>
      </c>
      <c r="H24" s="6">
        <f t="shared" si="0"/>
        <v>148273.5</v>
      </c>
      <c r="I24" s="6">
        <f t="shared" si="1"/>
        <v>18</v>
      </c>
      <c r="J24" s="4" t="s">
        <v>50</v>
      </c>
    </row>
    <row r="25" spans="1:10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 s="9">
        <f>VLOOKUP(J25,Лист2!$F:$I,2)</f>
        <v>21</v>
      </c>
      <c r="F25" s="9">
        <f>VLOOKUP(J25,Лист2!$F:$I,3)</f>
        <v>2016</v>
      </c>
      <c r="G25" s="9">
        <f>VLOOKUP(J25,Лист2!$F:$I,4)</f>
        <v>1846</v>
      </c>
      <c r="H25" s="9">
        <f t="shared" si="0"/>
        <v>157760.35714285713</v>
      </c>
      <c r="I25" s="9">
        <f t="shared" si="1"/>
        <v>19</v>
      </c>
      <c r="J25" s="4" t="s">
        <v>51</v>
      </c>
    </row>
    <row r="26" spans="1:10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6">
        <f>VLOOKUP(J26,Лист2!$F:$I,2)</f>
        <v>21</v>
      </c>
      <c r="F26" s="6">
        <f>VLOOKUP(J26,Лист2!$F:$I,3)</f>
        <v>1646</v>
      </c>
      <c r="G26" s="6">
        <f>VLOOKUP(J26,Лист2!$F:$I,4)</f>
        <v>1492</v>
      </c>
      <c r="H26" s="6">
        <f t="shared" si="0"/>
        <v>125960</v>
      </c>
      <c r="I26" s="6">
        <f t="shared" si="1"/>
        <v>19</v>
      </c>
      <c r="J26" s="4" t="s">
        <v>52</v>
      </c>
    </row>
    <row r="27" spans="1:10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 s="9">
        <f>VLOOKUP(J27,Лист2!$F:$I,2)</f>
        <v>21</v>
      </c>
      <c r="F27" s="9">
        <f>VLOOKUP(J27,Лист2!$F:$I,3)</f>
        <v>1542</v>
      </c>
      <c r="G27" s="9">
        <f>VLOOKUP(J27,Лист2!$F:$I,4)</f>
        <v>1405</v>
      </c>
      <c r="H27" s="9">
        <f t="shared" si="0"/>
        <v>117724.42857142857</v>
      </c>
      <c r="I27" s="9">
        <f t="shared" si="1"/>
        <v>19</v>
      </c>
      <c r="J27" s="4" t="s">
        <v>53</v>
      </c>
    </row>
    <row r="28" spans="1:10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6">
        <f>VLOOKUP(J28,Лист2!$F:$I,2)</f>
        <v>20</v>
      </c>
      <c r="F28" s="6">
        <f>VLOOKUP(J28,Лист2!$F:$I,3)</f>
        <v>1999</v>
      </c>
      <c r="G28" s="6">
        <f>VLOOKUP(J28,Лист2!$F:$I,4)</f>
        <v>1829</v>
      </c>
      <c r="H28" s="6">
        <f t="shared" si="0"/>
        <v>146237.32500000001</v>
      </c>
      <c r="I28" s="6">
        <f t="shared" si="1"/>
        <v>21</v>
      </c>
      <c r="J28" s="4" t="s">
        <v>54</v>
      </c>
    </row>
    <row r="29" spans="1:10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 s="9">
        <f>VLOOKUP(J29,Лист2!$F:$I,2)</f>
        <v>21</v>
      </c>
      <c r="F29" s="9">
        <f>VLOOKUP(J29,Лист2!$F:$I,3)</f>
        <v>2271</v>
      </c>
      <c r="G29" s="9">
        <f>VLOOKUP(J29,Лист2!$F:$I,4)</f>
        <v>2085</v>
      </c>
      <c r="H29" s="9">
        <f t="shared" si="0"/>
        <v>165423.57142857142</v>
      </c>
      <c r="I29" s="9">
        <f t="shared" si="1"/>
        <v>22</v>
      </c>
      <c r="J29" s="4" t="s">
        <v>55</v>
      </c>
    </row>
    <row r="30" spans="1:10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6">
        <f>VLOOKUP(J30,Лист2!$F:$I,2)</f>
        <v>20</v>
      </c>
      <c r="F30" s="6">
        <f>VLOOKUP(J30,Лист2!$F:$I,3)</f>
        <v>2597</v>
      </c>
      <c r="G30" s="6">
        <f>VLOOKUP(J30,Лист2!$F:$I,4)</f>
        <v>2376</v>
      </c>
      <c r="H30" s="6">
        <f t="shared" si="0"/>
        <v>196089.22500000001</v>
      </c>
      <c r="I30" s="6">
        <f t="shared" si="1"/>
        <v>22</v>
      </c>
      <c r="J30" s="4" t="s">
        <v>56</v>
      </c>
    </row>
    <row r="31" spans="1:10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 s="9">
        <f>VLOOKUP(J31,Лист2!$F:$I,2)</f>
        <v>20</v>
      </c>
      <c r="F31" s="9">
        <f>VLOOKUP(J31,Лист2!$F:$I,3)</f>
        <v>1886</v>
      </c>
      <c r="G31" s="9">
        <f>VLOOKUP(J31,Лист2!$F:$I,4)</f>
        <v>1736</v>
      </c>
      <c r="H31" s="9">
        <f t="shared" si="0"/>
        <v>141388.65</v>
      </c>
      <c r="I31" s="9">
        <f t="shared" si="1"/>
        <v>22</v>
      </c>
      <c r="J31" s="4" t="s">
        <v>57</v>
      </c>
    </row>
    <row r="32" spans="1:10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6">
        <f>VLOOKUP(J32,Лист2!$F:$I,2)</f>
        <v>31</v>
      </c>
      <c r="F32" s="6">
        <f>VLOOKUP(J32,Лист2!$F:$I,3)</f>
        <v>5593</v>
      </c>
      <c r="G32" s="6">
        <f>VLOOKUP(J32,Лист2!$F:$I,4)</f>
        <v>5177</v>
      </c>
      <c r="H32" s="6">
        <f t="shared" si="0"/>
        <v>244637.37096774194</v>
      </c>
      <c r="I32" s="6">
        <f t="shared" si="1"/>
        <v>20</v>
      </c>
      <c r="J32" s="4" t="s">
        <v>58</v>
      </c>
    </row>
    <row r="33" spans="1:10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 s="9">
        <f>VLOOKUP(J33,Лист2!$F:$I,2)</f>
        <v>31</v>
      </c>
      <c r="F33" s="9">
        <f>VLOOKUP(J33,Лист2!$F:$I,3)</f>
        <v>5389</v>
      </c>
      <c r="G33" s="9">
        <f>VLOOKUP(J33,Лист2!$F:$I,4)</f>
        <v>5024</v>
      </c>
      <c r="H33" s="9">
        <f t="shared" si="0"/>
        <v>219855.19354838709</v>
      </c>
      <c r="I33" s="9">
        <f t="shared" si="1"/>
        <v>21</v>
      </c>
      <c r="J33" s="4" t="s">
        <v>59</v>
      </c>
    </row>
    <row r="34" spans="1:10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6">
        <f>VLOOKUP(J34,Лист2!$F:$I,2)</f>
        <v>31</v>
      </c>
      <c r="F34" s="6">
        <f>VLOOKUP(J34,Лист2!$F:$I,3)</f>
        <v>5206</v>
      </c>
      <c r="G34" s="6">
        <f>VLOOKUP(J34,Лист2!$F:$I,4)</f>
        <v>4843</v>
      </c>
      <c r="H34" s="6">
        <f t="shared" si="0"/>
        <v>218546.66129032258</v>
      </c>
      <c r="I34" s="6">
        <f t="shared" si="1"/>
        <v>20</v>
      </c>
      <c r="J34" s="4" t="s">
        <v>60</v>
      </c>
    </row>
    <row r="35" spans="1:10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 s="9">
        <f>VLOOKUP(J35,Лист2!$F:$I,2)</f>
        <v>31</v>
      </c>
      <c r="F35" s="9">
        <f>VLOOKUP(J35,Лист2!$F:$I,3)</f>
        <v>4556</v>
      </c>
      <c r="G35" s="9">
        <f>VLOOKUP(J35,Лист2!$F:$I,4)</f>
        <v>4220</v>
      </c>
      <c r="H35" s="9">
        <f t="shared" si="0"/>
        <v>202094.61290322582</v>
      </c>
      <c r="I35" s="9">
        <f t="shared" si="1"/>
        <v>19</v>
      </c>
      <c r="J35" s="4" t="s">
        <v>61</v>
      </c>
    </row>
    <row r="36" spans="1:10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6">
        <f>VLOOKUP(J36,Лист2!$F:$I,2)</f>
        <v>31</v>
      </c>
      <c r="F36" s="6">
        <f>VLOOKUP(J36,Лист2!$F:$I,3)</f>
        <v>4968</v>
      </c>
      <c r="G36" s="6">
        <f>VLOOKUP(J36,Лист2!$F:$I,4)</f>
        <v>4596</v>
      </c>
      <c r="H36" s="6">
        <f t="shared" si="0"/>
        <v>214266.09677419355</v>
      </c>
      <c r="I36" s="6">
        <f t="shared" si="1"/>
        <v>19</v>
      </c>
      <c r="J36" s="4" t="s">
        <v>62</v>
      </c>
    </row>
    <row r="37" spans="1:10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 s="9">
        <f>VLOOKUP(J37,Лист2!$F:$I,2)</f>
        <v>31</v>
      </c>
      <c r="F37" s="9">
        <f>VLOOKUP(J37,Лист2!$F:$I,3)</f>
        <v>5378</v>
      </c>
      <c r="G37" s="9">
        <f>VLOOKUP(J37,Лист2!$F:$I,4)</f>
        <v>4985</v>
      </c>
      <c r="H37" s="9">
        <f t="shared" si="0"/>
        <v>231628.98387096773</v>
      </c>
      <c r="I37" s="9">
        <f t="shared" si="1"/>
        <v>18</v>
      </c>
      <c r="J37" s="4" t="s">
        <v>63</v>
      </c>
    </row>
    <row r="38" spans="1:10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6">
        <f>VLOOKUP(J38,Лист2!$F:$I,2)</f>
        <v>31</v>
      </c>
      <c r="F38" s="6">
        <f>VLOOKUP(J38,Лист2!$F:$I,3)</f>
        <v>4157</v>
      </c>
      <c r="G38" s="6">
        <f>VLOOKUP(J38,Лист2!$F:$I,4)</f>
        <v>3823</v>
      </c>
      <c r="H38" s="6">
        <f t="shared" si="0"/>
        <v>179167.5</v>
      </c>
      <c r="I38" s="6">
        <f t="shared" si="1"/>
        <v>18</v>
      </c>
      <c r="J38" s="4" t="s">
        <v>64</v>
      </c>
    </row>
    <row r="39" spans="1:10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 s="9">
        <f>VLOOKUP(J39,Лист2!$F:$I,2)</f>
        <v>31</v>
      </c>
      <c r="F39" s="9">
        <f>VLOOKUP(J39,Лист2!$F:$I,3)</f>
        <v>5493</v>
      </c>
      <c r="G39" s="9">
        <f>VLOOKUP(J39,Лист2!$F:$I,4)</f>
        <v>5119</v>
      </c>
      <c r="H39" s="9">
        <f t="shared" si="0"/>
        <v>215369.66129032258</v>
      </c>
      <c r="I39" s="9">
        <f t="shared" si="1"/>
        <v>22</v>
      </c>
      <c r="J39" s="4" t="s">
        <v>65</v>
      </c>
    </row>
    <row r="40" spans="1:10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6">
        <f>VLOOKUP(J40,Лист2!$F:$I,2)</f>
        <v>31</v>
      </c>
      <c r="F40" s="6">
        <f>VLOOKUP(J40,Лист2!$F:$I,3)</f>
        <v>6118</v>
      </c>
      <c r="G40" s="6">
        <f>VLOOKUP(J40,Лист2!$F:$I,4)</f>
        <v>5564</v>
      </c>
      <c r="H40" s="6">
        <f t="shared" si="0"/>
        <v>286871.75806451612</v>
      </c>
      <c r="I40" s="6">
        <f t="shared" si="1"/>
        <v>18</v>
      </c>
      <c r="J40" s="4" t="s">
        <v>66</v>
      </c>
    </row>
    <row r="41" spans="1:10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 s="9">
        <f>VLOOKUP(J41,Лист2!$F:$I,2)</f>
        <v>31</v>
      </c>
      <c r="F41" s="9">
        <f>VLOOKUP(J41,Лист2!$F:$I,3)</f>
        <v>4800</v>
      </c>
      <c r="G41" s="9">
        <f>VLOOKUP(J41,Лист2!$F:$I,4)</f>
        <v>4470</v>
      </c>
      <c r="H41" s="9">
        <f t="shared" si="0"/>
        <v>206398.74193548388</v>
      </c>
      <c r="I41" s="9">
        <f t="shared" si="1"/>
        <v>20</v>
      </c>
      <c r="J41" s="4" t="s">
        <v>67</v>
      </c>
    </row>
    <row r="42" spans="1:10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6">
        <f>VLOOKUP(J42,Лист2!$F:$I,2)</f>
        <v>31</v>
      </c>
      <c r="F42" s="6">
        <f>VLOOKUP(J42,Лист2!$F:$I,3)</f>
        <v>5207</v>
      </c>
      <c r="G42" s="6">
        <f>VLOOKUP(J42,Лист2!$F:$I,4)</f>
        <v>4868</v>
      </c>
      <c r="H42" s="6">
        <f t="shared" si="0"/>
        <v>213995.0806451613</v>
      </c>
      <c r="I42" s="6">
        <f t="shared" si="1"/>
        <v>21</v>
      </c>
      <c r="J42" s="4" t="s">
        <v>68</v>
      </c>
    </row>
    <row r="43" spans="1:10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 s="9">
        <f>VLOOKUP(J43,Лист2!$F:$I,2)</f>
        <v>31</v>
      </c>
      <c r="F43" s="9">
        <f>VLOOKUP(J43,Лист2!$F:$I,3)</f>
        <v>5698</v>
      </c>
      <c r="G43" s="9">
        <f>VLOOKUP(J43,Лист2!$F:$I,4)</f>
        <v>5258</v>
      </c>
      <c r="H43" s="9">
        <f t="shared" si="0"/>
        <v>233792.75806451612</v>
      </c>
      <c r="I43" s="9">
        <f t="shared" si="1"/>
        <v>21</v>
      </c>
      <c r="J43" s="4" t="s">
        <v>69</v>
      </c>
    </row>
    <row r="44" spans="1:10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6">
        <f>VLOOKUP(J44,Лист2!$F:$I,2)</f>
        <v>31</v>
      </c>
      <c r="F44" s="6">
        <f>VLOOKUP(J44,Лист2!$F:$I,3)</f>
        <v>5188</v>
      </c>
      <c r="G44" s="6">
        <f>VLOOKUP(J44,Лист2!$F:$I,4)</f>
        <v>4800</v>
      </c>
      <c r="H44" s="6">
        <f t="shared" si="0"/>
        <v>223268.27419354839</v>
      </c>
      <c r="I44" s="6">
        <f t="shared" si="1"/>
        <v>19</v>
      </c>
      <c r="J44" s="4" t="s">
        <v>70</v>
      </c>
    </row>
    <row r="45" spans="1:10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 s="9">
        <f>VLOOKUP(J45,Лист2!$F:$I,2)</f>
        <v>31</v>
      </c>
      <c r="F45" s="9">
        <f>VLOOKUP(J45,Лист2!$F:$I,3)</f>
        <v>5465</v>
      </c>
      <c r="G45" s="9">
        <f>VLOOKUP(J45,Лист2!$F:$I,4)</f>
        <v>5096</v>
      </c>
      <c r="H45" s="9">
        <f t="shared" si="0"/>
        <v>231085.30645161291</v>
      </c>
      <c r="I45" s="9">
        <f t="shared" si="1"/>
        <v>18</v>
      </c>
      <c r="J45" s="4" t="s">
        <v>71</v>
      </c>
    </row>
    <row r="46" spans="1:10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6">
        <f>VLOOKUP(J46,Лист2!$F:$I,2)</f>
        <v>31</v>
      </c>
      <c r="F46" s="6">
        <f>VLOOKUP(J46,Лист2!$F:$I,3)</f>
        <v>5251</v>
      </c>
      <c r="G46" s="6">
        <f>VLOOKUP(J46,Лист2!$F:$I,4)</f>
        <v>4853</v>
      </c>
      <c r="H46" s="6">
        <f t="shared" si="0"/>
        <v>225611.37096774194</v>
      </c>
      <c r="I46" s="6">
        <f t="shared" si="1"/>
        <v>20</v>
      </c>
      <c r="J46" s="4" t="s">
        <v>72</v>
      </c>
    </row>
    <row r="47" spans="1:10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 s="9">
        <f>VLOOKUP(J47,Лист2!$F:$I,2)</f>
        <v>31</v>
      </c>
      <c r="F47" s="9">
        <f>VLOOKUP(J47,Лист2!$F:$I,3)</f>
        <v>5155</v>
      </c>
      <c r="G47" s="9">
        <f>VLOOKUP(J47,Лист2!$F:$I,4)</f>
        <v>4762</v>
      </c>
      <c r="H47" s="9">
        <f t="shared" si="0"/>
        <v>226247.4193548387</v>
      </c>
      <c r="I47" s="9">
        <f t="shared" si="1"/>
        <v>18</v>
      </c>
      <c r="J47" s="4" t="s">
        <v>73</v>
      </c>
    </row>
    <row r="48" spans="1:10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6">
        <f>VLOOKUP(J48,Лист2!$F:$I,2)</f>
        <v>31</v>
      </c>
      <c r="F48" s="6">
        <f>VLOOKUP(J48,Лист2!$F:$I,3)</f>
        <v>4709</v>
      </c>
      <c r="G48" s="6">
        <f>VLOOKUP(J48,Лист2!$F:$I,4)</f>
        <v>4348</v>
      </c>
      <c r="H48" s="6">
        <f t="shared" si="0"/>
        <v>198988.93548387097</v>
      </c>
      <c r="I48" s="6">
        <f t="shared" si="1"/>
        <v>19</v>
      </c>
      <c r="J48" s="4" t="s">
        <v>74</v>
      </c>
    </row>
    <row r="49" spans="1:10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 s="9">
        <f>VLOOKUP(J49,Лист2!$F:$I,2)</f>
        <v>31</v>
      </c>
      <c r="F49" s="9">
        <f>VLOOKUP(J49,Лист2!$F:$I,3)</f>
        <v>6276</v>
      </c>
      <c r="G49" s="9">
        <f>VLOOKUP(J49,Лист2!$F:$I,4)</f>
        <v>5801</v>
      </c>
      <c r="H49" s="9">
        <f t="shared" si="0"/>
        <v>260940.09677419355</v>
      </c>
      <c r="I49" s="9">
        <f t="shared" si="1"/>
        <v>21</v>
      </c>
      <c r="J49" s="4" t="s">
        <v>75</v>
      </c>
    </row>
    <row r="50" spans="1:10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6">
        <f>VLOOKUP(J50,Лист2!$F:$I,2)</f>
        <v>31</v>
      </c>
      <c r="F50" s="6">
        <f>VLOOKUP(J50,Лист2!$F:$I,3)</f>
        <v>5210</v>
      </c>
      <c r="G50" s="6">
        <f>VLOOKUP(J50,Лист2!$F:$I,4)</f>
        <v>4841</v>
      </c>
      <c r="H50" s="6">
        <f t="shared" si="0"/>
        <v>214374.29032258064</v>
      </c>
      <c r="I50" s="6">
        <f t="shared" si="1"/>
        <v>22</v>
      </c>
      <c r="J50" s="4" t="s">
        <v>76</v>
      </c>
    </row>
    <row r="51" spans="1:10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 s="9">
        <f>VLOOKUP(J51,Лист2!$F:$I,2)</f>
        <v>31</v>
      </c>
      <c r="F51" s="9">
        <f>VLOOKUP(J51,Лист2!$F:$I,3)</f>
        <v>5120</v>
      </c>
      <c r="G51" s="9">
        <f>VLOOKUP(J51,Лист2!$F:$I,4)</f>
        <v>4737</v>
      </c>
      <c r="H51" s="9">
        <f t="shared" si="0"/>
        <v>226571.85483870967</v>
      </c>
      <c r="I51" s="9">
        <f t="shared" si="1"/>
        <v>18</v>
      </c>
      <c r="J51" s="4" t="s">
        <v>77</v>
      </c>
    </row>
    <row r="52" spans="1:10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6">
        <f>VLOOKUP(J52,Лист2!$F:$I,2)</f>
        <v>31</v>
      </c>
      <c r="F52" s="6">
        <f>VLOOKUP(J52,Лист2!$F:$I,3)</f>
        <v>5495</v>
      </c>
      <c r="G52" s="6">
        <f>VLOOKUP(J52,Лист2!$F:$I,4)</f>
        <v>5093</v>
      </c>
      <c r="H52" s="6">
        <f t="shared" si="0"/>
        <v>241393.35483870967</v>
      </c>
      <c r="I52" s="6">
        <f t="shared" si="1"/>
        <v>19</v>
      </c>
      <c r="J52" s="4" t="s">
        <v>78</v>
      </c>
    </row>
    <row r="53" spans="1:10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 s="9">
        <f>VLOOKUP(J53,Лист2!$F:$I,2)</f>
        <v>31</v>
      </c>
      <c r="F53" s="9">
        <f>VLOOKUP(J53,Лист2!$F:$I,3)</f>
        <v>4635</v>
      </c>
      <c r="G53" s="9">
        <f>VLOOKUP(J53,Лист2!$F:$I,4)</f>
        <v>4266</v>
      </c>
      <c r="H53" s="9">
        <f t="shared" si="0"/>
        <v>203025.04838709679</v>
      </c>
      <c r="I53" s="9">
        <f t="shared" si="1"/>
        <v>19</v>
      </c>
      <c r="J53" s="4" t="s">
        <v>79</v>
      </c>
    </row>
    <row r="54" spans="1:10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6">
        <f>VLOOKUP(J54,Лист2!$F:$I,2)</f>
        <v>31</v>
      </c>
      <c r="F54" s="6">
        <f>VLOOKUP(J54,Лист2!$F:$I,3)</f>
        <v>4903</v>
      </c>
      <c r="G54" s="6">
        <f>VLOOKUP(J54,Лист2!$F:$I,4)</f>
        <v>4527</v>
      </c>
      <c r="H54" s="6">
        <f t="shared" si="0"/>
        <v>212641.40322580645</v>
      </c>
      <c r="I54" s="6">
        <f t="shared" si="1"/>
        <v>19</v>
      </c>
      <c r="J54" s="4" t="s">
        <v>80</v>
      </c>
    </row>
    <row r="55" spans="1:10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 s="9">
        <f>VLOOKUP(J55,Лист2!$F:$I,2)</f>
        <v>31</v>
      </c>
      <c r="F55" s="9">
        <f>VLOOKUP(J55,Лист2!$F:$I,3)</f>
        <v>5035</v>
      </c>
      <c r="G55" s="9">
        <f>VLOOKUP(J55,Лист2!$F:$I,4)</f>
        <v>4683</v>
      </c>
      <c r="H55" s="9">
        <f t="shared" si="0"/>
        <v>208097.80645161291</v>
      </c>
      <c r="I55" s="9">
        <f t="shared" si="1"/>
        <v>21</v>
      </c>
      <c r="J55" s="4" t="s">
        <v>81</v>
      </c>
    </row>
    <row r="56" spans="1:10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6">
        <f>VLOOKUP(J56,Лист2!$F:$I,2)</f>
        <v>10</v>
      </c>
      <c r="F56" s="6">
        <f>VLOOKUP(J56,Лист2!$F:$I,3)</f>
        <v>760</v>
      </c>
      <c r="G56" s="6">
        <f>VLOOKUP(J56,Лист2!$F:$I,4)</f>
        <v>672</v>
      </c>
      <c r="H56" s="6">
        <f t="shared" si="0"/>
        <v>113050.65</v>
      </c>
      <c r="I56" s="6">
        <f t="shared" si="1"/>
        <v>20</v>
      </c>
      <c r="J56" s="4" t="s">
        <v>82</v>
      </c>
    </row>
    <row r="57" spans="1:10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 s="9">
        <f>VLOOKUP(J57,Лист2!$F:$I,2)</f>
        <v>10</v>
      </c>
      <c r="F57" s="9">
        <f>VLOOKUP(J57,Лист2!$F:$I,3)</f>
        <v>649</v>
      </c>
      <c r="G57" s="9">
        <f>VLOOKUP(J57,Лист2!$F:$I,4)</f>
        <v>568</v>
      </c>
      <c r="H57" s="9">
        <f t="shared" si="0"/>
        <v>93876.45</v>
      </c>
      <c r="I57" s="9">
        <f t="shared" si="1"/>
        <v>21</v>
      </c>
      <c r="J57" s="4" t="s">
        <v>83</v>
      </c>
    </row>
    <row r="58" spans="1:10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6">
        <f>VLOOKUP(J58,Лист2!$F:$I,2)</f>
        <v>10</v>
      </c>
      <c r="F58" s="6">
        <f>VLOOKUP(J58,Лист2!$F:$I,3)</f>
        <v>591</v>
      </c>
      <c r="G58" s="6">
        <f>VLOOKUP(J58,Лист2!$F:$I,4)</f>
        <v>513</v>
      </c>
      <c r="H58" s="6">
        <f t="shared" si="0"/>
        <v>84372.75</v>
      </c>
      <c r="I58" s="6">
        <f t="shared" si="1"/>
        <v>20</v>
      </c>
      <c r="J58" s="4" t="s">
        <v>84</v>
      </c>
    </row>
    <row r="59" spans="1:10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 s="9">
        <f>VLOOKUP(J59,Лист2!$F:$I,2)</f>
        <v>10</v>
      </c>
      <c r="F59" s="9">
        <f>VLOOKUP(J59,Лист2!$F:$I,3)</f>
        <v>644</v>
      </c>
      <c r="G59" s="9">
        <f>VLOOKUP(J59,Лист2!$F:$I,4)</f>
        <v>559</v>
      </c>
      <c r="H59" s="9">
        <f t="shared" si="0"/>
        <v>104640</v>
      </c>
      <c r="I59" s="9">
        <f t="shared" si="1"/>
        <v>19</v>
      </c>
      <c r="J59" s="4" t="s">
        <v>85</v>
      </c>
    </row>
    <row r="60" spans="1:10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6">
        <f>VLOOKUP(J60,Лист2!$F:$I,2)</f>
        <v>10</v>
      </c>
      <c r="F60" s="6">
        <f>VLOOKUP(J60,Лист2!$F:$I,3)</f>
        <v>462</v>
      </c>
      <c r="G60" s="6">
        <f>VLOOKUP(J60,Лист2!$F:$I,4)</f>
        <v>396</v>
      </c>
      <c r="H60" s="6">
        <f t="shared" si="0"/>
        <v>72889.05</v>
      </c>
      <c r="I60" s="6">
        <f t="shared" si="1"/>
        <v>19</v>
      </c>
      <c r="J60" s="4" t="s">
        <v>86</v>
      </c>
    </row>
    <row r="61" spans="1:10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 s="9">
        <f>VLOOKUP(J61,Лист2!$F:$I,2)</f>
        <v>10</v>
      </c>
      <c r="F61" s="9">
        <f>VLOOKUP(J61,Лист2!$F:$I,3)</f>
        <v>502</v>
      </c>
      <c r="G61" s="9">
        <f>VLOOKUP(J61,Лист2!$F:$I,4)</f>
        <v>433</v>
      </c>
      <c r="H61" s="9">
        <f t="shared" si="0"/>
        <v>79791.899999999994</v>
      </c>
      <c r="I61" s="9">
        <f t="shared" si="1"/>
        <v>18</v>
      </c>
      <c r="J61" s="4" t="s">
        <v>87</v>
      </c>
    </row>
    <row r="62" spans="1:10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6">
        <f>VLOOKUP(J62,Лист2!$F:$I,2)</f>
        <v>10</v>
      </c>
      <c r="F62" s="6">
        <f>VLOOKUP(J62,Лист2!$F:$I,3)</f>
        <v>416</v>
      </c>
      <c r="G62" s="6">
        <f>VLOOKUP(J62,Лист2!$F:$I,4)</f>
        <v>341</v>
      </c>
      <c r="H62" s="6">
        <f t="shared" si="0"/>
        <v>61788.15</v>
      </c>
      <c r="I62" s="6">
        <f t="shared" si="1"/>
        <v>18</v>
      </c>
      <c r="J62" s="4" t="s">
        <v>88</v>
      </c>
    </row>
    <row r="63" spans="1:10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 s="9">
        <f>VLOOKUP(J63,Лист2!$F:$I,2)</f>
        <v>10</v>
      </c>
      <c r="F63" s="9">
        <f>VLOOKUP(J63,Лист2!$F:$I,3)</f>
        <v>692</v>
      </c>
      <c r="G63" s="9">
        <f>VLOOKUP(J63,Лист2!$F:$I,4)</f>
        <v>601</v>
      </c>
      <c r="H63" s="9">
        <f t="shared" si="0"/>
        <v>98310.9</v>
      </c>
      <c r="I63" s="9">
        <f t="shared" si="1"/>
        <v>22</v>
      </c>
      <c r="J63" s="4" t="s">
        <v>89</v>
      </c>
    </row>
    <row r="64" spans="1:10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6">
        <f>VLOOKUP(J64,Лист2!$F:$I,2)</f>
        <v>10</v>
      </c>
      <c r="F64" s="6">
        <f>VLOOKUP(J64,Лист2!$F:$I,3)</f>
        <v>554</v>
      </c>
      <c r="G64" s="6">
        <f>VLOOKUP(J64,Лист2!$F:$I,4)</f>
        <v>472</v>
      </c>
      <c r="H64" s="6">
        <f t="shared" si="0"/>
        <v>89113.95</v>
      </c>
      <c r="I64" s="6">
        <f t="shared" si="1"/>
        <v>18</v>
      </c>
      <c r="J64" s="4" t="s">
        <v>90</v>
      </c>
    </row>
    <row r="65" spans="1:10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 s="9">
        <f>VLOOKUP(J65,Лист2!$F:$I,2)</f>
        <v>10</v>
      </c>
      <c r="F65" s="9">
        <f>VLOOKUP(J65,Лист2!$F:$I,3)</f>
        <v>526</v>
      </c>
      <c r="G65" s="9">
        <f>VLOOKUP(J65,Лист2!$F:$I,4)</f>
        <v>448</v>
      </c>
      <c r="H65" s="9">
        <f t="shared" si="0"/>
        <v>73296.45</v>
      </c>
      <c r="I65" s="9">
        <f t="shared" si="1"/>
        <v>20</v>
      </c>
      <c r="J65" s="4" t="s">
        <v>91</v>
      </c>
    </row>
    <row r="66" spans="1:10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6">
        <f>VLOOKUP(J66,Лист2!$F:$I,2)</f>
        <v>10</v>
      </c>
      <c r="F66" s="6">
        <f>VLOOKUP(J66,Лист2!$F:$I,3)</f>
        <v>677</v>
      </c>
      <c r="G66" s="6">
        <f>VLOOKUP(J66,Лист2!$F:$I,4)</f>
        <v>591</v>
      </c>
      <c r="H66" s="6">
        <f t="shared" si="0"/>
        <v>93552.3</v>
      </c>
      <c r="I66" s="6">
        <f t="shared" si="1"/>
        <v>21</v>
      </c>
      <c r="J66" s="4" t="s">
        <v>92</v>
      </c>
    </row>
    <row r="67" spans="1:10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 s="9">
        <f>VLOOKUP(J67,Лист2!$F:$I,2)</f>
        <v>10</v>
      </c>
      <c r="F67" s="9">
        <f>VLOOKUP(J67,Лист2!$F:$I,3)</f>
        <v>745</v>
      </c>
      <c r="G67" s="9">
        <f>VLOOKUP(J67,Лист2!$F:$I,4)</f>
        <v>654</v>
      </c>
      <c r="H67" s="9">
        <f t="shared" ref="H67:H130" si="2">D67/E67</f>
        <v>103724.7</v>
      </c>
      <c r="I67" s="9">
        <f t="shared" ref="I67:I130" si="3">WEEKNUM(A67,2)</f>
        <v>21</v>
      </c>
      <c r="J67" s="4" t="s">
        <v>93</v>
      </c>
    </row>
    <row r="68" spans="1:10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6">
        <f>VLOOKUP(J68,Лист2!$F:$I,2)</f>
        <v>10</v>
      </c>
      <c r="F68" s="6">
        <f>VLOOKUP(J68,Лист2!$F:$I,3)</f>
        <v>511</v>
      </c>
      <c r="G68" s="6">
        <f>VLOOKUP(J68,Лист2!$F:$I,4)</f>
        <v>437</v>
      </c>
      <c r="H68" s="6">
        <f t="shared" si="2"/>
        <v>79332</v>
      </c>
      <c r="I68" s="6">
        <f t="shared" si="3"/>
        <v>19</v>
      </c>
      <c r="J68" s="4" t="s">
        <v>94</v>
      </c>
    </row>
    <row r="69" spans="1:10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 s="9">
        <f>VLOOKUP(J69,Лист2!$F:$I,2)</f>
        <v>10</v>
      </c>
      <c r="F69" s="9">
        <f>VLOOKUP(J69,Лист2!$F:$I,3)</f>
        <v>580</v>
      </c>
      <c r="G69" s="9">
        <f>VLOOKUP(J69,Лист2!$F:$I,4)</f>
        <v>506</v>
      </c>
      <c r="H69" s="9">
        <f t="shared" si="2"/>
        <v>86998.35</v>
      </c>
      <c r="I69" s="9">
        <f t="shared" si="3"/>
        <v>18</v>
      </c>
      <c r="J69" s="4" t="s">
        <v>95</v>
      </c>
    </row>
    <row r="70" spans="1:10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6">
        <f>VLOOKUP(J70,Лист2!$F:$I,2)</f>
        <v>10</v>
      </c>
      <c r="F70" s="6">
        <f>VLOOKUP(J70,Лист2!$F:$I,3)</f>
        <v>612</v>
      </c>
      <c r="G70" s="6">
        <f>VLOOKUP(J70,Лист2!$F:$I,4)</f>
        <v>530</v>
      </c>
      <c r="H70" s="6">
        <f t="shared" si="2"/>
        <v>86571.45</v>
      </c>
      <c r="I70" s="6">
        <f t="shared" si="3"/>
        <v>20</v>
      </c>
      <c r="J70" s="4" t="s">
        <v>96</v>
      </c>
    </row>
    <row r="71" spans="1:10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 s="9">
        <f>VLOOKUP(J71,Лист2!$F:$I,2)</f>
        <v>31</v>
      </c>
      <c r="F71" s="9">
        <f>VLOOKUP(J71,Лист2!$F:$I,3)</f>
        <v>5760</v>
      </c>
      <c r="G71" s="9">
        <f>VLOOKUP(J71,Лист2!$F:$I,4)</f>
        <v>5367</v>
      </c>
      <c r="H71" s="9">
        <f t="shared" si="2"/>
        <v>242343.43548387097</v>
      </c>
      <c r="I71" s="9">
        <f t="shared" si="3"/>
        <v>22</v>
      </c>
      <c r="J71" s="4" t="s">
        <v>97</v>
      </c>
    </row>
    <row r="72" spans="1:10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6">
        <f>VLOOKUP(J72,Лист2!$F:$I,2)</f>
        <v>10</v>
      </c>
      <c r="F72" s="6">
        <f>VLOOKUP(J72,Лист2!$F:$I,3)</f>
        <v>402</v>
      </c>
      <c r="G72" s="6">
        <f>VLOOKUP(J72,Лист2!$F:$I,4)</f>
        <v>333</v>
      </c>
      <c r="H72" s="6">
        <f t="shared" si="2"/>
        <v>63788.1</v>
      </c>
      <c r="I72" s="6">
        <f t="shared" si="3"/>
        <v>18</v>
      </c>
      <c r="J72" s="4" t="s">
        <v>98</v>
      </c>
    </row>
    <row r="73" spans="1:10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 s="9">
        <f>VLOOKUP(J73,Лист2!$F:$I,2)</f>
        <v>31</v>
      </c>
      <c r="F73" s="9">
        <f>VLOOKUP(J73,Лист2!$F:$I,3)</f>
        <v>6735</v>
      </c>
      <c r="G73" s="9">
        <f>VLOOKUP(J73,Лист2!$F:$I,4)</f>
        <v>6264</v>
      </c>
      <c r="H73" s="9">
        <f t="shared" si="2"/>
        <v>295635.72580645164</v>
      </c>
      <c r="I73" s="9">
        <f t="shared" si="3"/>
        <v>22</v>
      </c>
      <c r="J73" s="4" t="s">
        <v>99</v>
      </c>
    </row>
    <row r="74" spans="1:10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6">
        <f>VLOOKUP(J74,Лист2!$F:$I,2)</f>
        <v>10</v>
      </c>
      <c r="F74" s="6">
        <f>VLOOKUP(J74,Лист2!$F:$I,3)</f>
        <v>465</v>
      </c>
      <c r="G74" s="6">
        <f>VLOOKUP(J74,Лист2!$F:$I,4)</f>
        <v>390</v>
      </c>
      <c r="H74" s="6">
        <f t="shared" si="2"/>
        <v>69683.25</v>
      </c>
      <c r="I74" s="6">
        <f t="shared" si="3"/>
        <v>19</v>
      </c>
      <c r="J74" s="4" t="s">
        <v>100</v>
      </c>
    </row>
    <row r="75" spans="1:10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 s="9">
        <f>VLOOKUP(J75,Лист2!$F:$I,2)</f>
        <v>10</v>
      </c>
      <c r="F75" s="9">
        <f>VLOOKUP(J75,Лист2!$F:$I,3)</f>
        <v>828</v>
      </c>
      <c r="G75" s="9">
        <f>VLOOKUP(J75,Лист2!$F:$I,4)</f>
        <v>734</v>
      </c>
      <c r="H75" s="9">
        <f t="shared" si="2"/>
        <v>124138.35</v>
      </c>
      <c r="I75" s="9">
        <f t="shared" si="3"/>
        <v>21</v>
      </c>
      <c r="J75" s="4" t="s">
        <v>101</v>
      </c>
    </row>
    <row r="76" spans="1:10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6">
        <f>VLOOKUP(J76,Лист2!$F:$I,2)</f>
        <v>31</v>
      </c>
      <c r="F76" s="6">
        <f>VLOOKUP(J76,Лист2!$F:$I,3)</f>
        <v>5355</v>
      </c>
      <c r="G76" s="6">
        <f>VLOOKUP(J76,Лист2!$F:$I,4)</f>
        <v>4969</v>
      </c>
      <c r="H76" s="6">
        <f t="shared" si="2"/>
        <v>214244.17741935485</v>
      </c>
      <c r="I76" s="6">
        <f t="shared" si="3"/>
        <v>22</v>
      </c>
      <c r="J76" s="4" t="s">
        <v>102</v>
      </c>
    </row>
    <row r="77" spans="1:10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 s="9">
        <f>VLOOKUP(J77,Лист2!$F:$I,2)</f>
        <v>10</v>
      </c>
      <c r="F77" s="9">
        <f>VLOOKUP(J77,Лист2!$F:$I,3)</f>
        <v>739</v>
      </c>
      <c r="G77" s="9">
        <f>VLOOKUP(J77,Лист2!$F:$I,4)</f>
        <v>642</v>
      </c>
      <c r="H77" s="9">
        <f t="shared" si="2"/>
        <v>103044</v>
      </c>
      <c r="I77" s="9">
        <f t="shared" si="3"/>
        <v>22</v>
      </c>
      <c r="J77" s="4" t="s">
        <v>103</v>
      </c>
    </row>
    <row r="78" spans="1:10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6">
        <f>VLOOKUP(J78,Лист2!$F:$I,2)</f>
        <v>10</v>
      </c>
      <c r="F78" s="6">
        <f>VLOOKUP(J78,Лист2!$F:$I,3)</f>
        <v>448</v>
      </c>
      <c r="G78" s="6">
        <f>VLOOKUP(J78,Лист2!$F:$I,4)</f>
        <v>376</v>
      </c>
      <c r="H78" s="6">
        <f t="shared" si="2"/>
        <v>71619.600000000006</v>
      </c>
      <c r="I78" s="6">
        <f t="shared" si="3"/>
        <v>18</v>
      </c>
      <c r="J78" s="4" t="s">
        <v>104</v>
      </c>
    </row>
    <row r="79" spans="1:10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 s="9">
        <f>VLOOKUP(J79,Лист2!$F:$I,2)</f>
        <v>10</v>
      </c>
      <c r="F79" s="9">
        <f>VLOOKUP(J79,Лист2!$F:$I,3)</f>
        <v>642</v>
      </c>
      <c r="G79" s="9">
        <f>VLOOKUP(J79,Лист2!$F:$I,4)</f>
        <v>556</v>
      </c>
      <c r="H79" s="9">
        <f t="shared" si="2"/>
        <v>100478.85</v>
      </c>
      <c r="I79" s="9">
        <f t="shared" si="3"/>
        <v>19</v>
      </c>
      <c r="J79" s="4" t="s">
        <v>105</v>
      </c>
    </row>
    <row r="80" spans="1:10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6">
        <f>VLOOKUP(J80,Лист2!$F:$I,2)</f>
        <v>10</v>
      </c>
      <c r="F80" s="6">
        <f>VLOOKUP(J80,Лист2!$F:$I,3)</f>
        <v>638</v>
      </c>
      <c r="G80" s="6">
        <f>VLOOKUP(J80,Лист2!$F:$I,4)</f>
        <v>547</v>
      </c>
      <c r="H80" s="6">
        <f t="shared" si="2"/>
        <v>95970.3</v>
      </c>
      <c r="I80" s="6">
        <f t="shared" si="3"/>
        <v>19</v>
      </c>
      <c r="J80" s="4" t="s">
        <v>106</v>
      </c>
    </row>
    <row r="81" spans="1:10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 s="9">
        <f>VLOOKUP(J81,Лист2!$F:$I,2)</f>
        <v>10</v>
      </c>
      <c r="F81" s="9">
        <f>VLOOKUP(J81,Лист2!$F:$I,3)</f>
        <v>563</v>
      </c>
      <c r="G81" s="9">
        <f>VLOOKUP(J81,Лист2!$F:$I,4)</f>
        <v>486</v>
      </c>
      <c r="H81" s="9">
        <f t="shared" si="2"/>
        <v>86375.4</v>
      </c>
      <c r="I81" s="9">
        <f t="shared" si="3"/>
        <v>19</v>
      </c>
      <c r="J81" s="4" t="s">
        <v>107</v>
      </c>
    </row>
    <row r="82" spans="1:10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6">
        <f>VLOOKUP(J82,Лист2!$F:$I,2)</f>
        <v>10</v>
      </c>
      <c r="F82" s="6">
        <f>VLOOKUP(J82,Лист2!$F:$I,3)</f>
        <v>639</v>
      </c>
      <c r="G82" s="6">
        <f>VLOOKUP(J82,Лист2!$F:$I,4)</f>
        <v>557</v>
      </c>
      <c r="H82" s="6">
        <f t="shared" si="2"/>
        <v>82898.399999999994</v>
      </c>
      <c r="I82" s="6">
        <f t="shared" si="3"/>
        <v>21</v>
      </c>
      <c r="J82" s="4" t="s">
        <v>108</v>
      </c>
    </row>
    <row r="83" spans="1:10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 s="9">
        <f>VLOOKUP(J83,Лист2!$F:$I,2)</f>
        <v>10</v>
      </c>
      <c r="F83" s="9">
        <f>VLOOKUP(J83,Лист2!$F:$I,3)</f>
        <v>749</v>
      </c>
      <c r="G83" s="9">
        <f>VLOOKUP(J83,Лист2!$F:$I,4)</f>
        <v>655</v>
      </c>
      <c r="H83" s="9">
        <f t="shared" si="2"/>
        <v>104551.5</v>
      </c>
      <c r="I83" s="9">
        <f t="shared" si="3"/>
        <v>22</v>
      </c>
      <c r="J83" s="4" t="s">
        <v>109</v>
      </c>
    </row>
    <row r="84" spans="1:10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6">
        <f>VLOOKUP(J84,Лист2!$F:$I,2)</f>
        <v>10</v>
      </c>
      <c r="F84" s="6">
        <f>VLOOKUP(J84,Лист2!$F:$I,3)</f>
        <v>865</v>
      </c>
      <c r="G84" s="6">
        <f>VLOOKUP(J84,Лист2!$F:$I,4)</f>
        <v>763</v>
      </c>
      <c r="H84" s="6">
        <f t="shared" si="2"/>
        <v>126048.3</v>
      </c>
      <c r="I84" s="6">
        <f t="shared" si="3"/>
        <v>22</v>
      </c>
      <c r="J84" s="4" t="s">
        <v>110</v>
      </c>
    </row>
    <row r="85" spans="1:10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 s="9">
        <f>VLOOKUP(J85,Лист2!$F:$I,2)</f>
        <v>10</v>
      </c>
      <c r="F85" s="9">
        <f>VLOOKUP(J85,Лист2!$F:$I,3)</f>
        <v>791</v>
      </c>
      <c r="G85" s="9">
        <f>VLOOKUP(J85,Лист2!$F:$I,4)</f>
        <v>697</v>
      </c>
      <c r="H85" s="9">
        <f t="shared" si="2"/>
        <v>111455.25</v>
      </c>
      <c r="I85" s="9">
        <f t="shared" si="3"/>
        <v>22</v>
      </c>
      <c r="J85" s="4" t="s">
        <v>111</v>
      </c>
    </row>
    <row r="86" spans="1:10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6">
        <f>VLOOKUP(J86,Лист2!$F:$I,2)</f>
        <v>19</v>
      </c>
      <c r="F86" s="6">
        <f>VLOOKUP(J86,Лист2!$F:$I,3)</f>
        <v>2080</v>
      </c>
      <c r="G86" s="6">
        <f>VLOOKUP(J86,Лист2!$F:$I,4)</f>
        <v>1844</v>
      </c>
      <c r="H86" s="6">
        <f t="shared" si="2"/>
        <v>169606.18421052632</v>
      </c>
      <c r="I86" s="6">
        <f t="shared" si="3"/>
        <v>20</v>
      </c>
      <c r="J86" s="4" t="s">
        <v>112</v>
      </c>
    </row>
    <row r="87" spans="1:10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 s="9">
        <f>VLOOKUP(J87,Лист2!$F:$I,2)</f>
        <v>19</v>
      </c>
      <c r="F87" s="9">
        <f>VLOOKUP(J87,Лист2!$F:$I,3)</f>
        <v>1999</v>
      </c>
      <c r="G87" s="9">
        <f>VLOOKUP(J87,Лист2!$F:$I,4)</f>
        <v>1799</v>
      </c>
      <c r="H87" s="9">
        <f t="shared" si="2"/>
        <v>150807.23684210525</v>
      </c>
      <c r="I87" s="9">
        <f t="shared" si="3"/>
        <v>21</v>
      </c>
      <c r="J87" s="4" t="s">
        <v>113</v>
      </c>
    </row>
    <row r="88" spans="1:10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6">
        <f>VLOOKUP(J88,Лист2!$F:$I,2)</f>
        <v>19</v>
      </c>
      <c r="F88" s="6">
        <f>VLOOKUP(J88,Лист2!$F:$I,3)</f>
        <v>1871</v>
      </c>
      <c r="G88" s="6">
        <f>VLOOKUP(J88,Лист2!$F:$I,4)</f>
        <v>1660</v>
      </c>
      <c r="H88" s="6">
        <f t="shared" si="2"/>
        <v>141804.71052631579</v>
      </c>
      <c r="I88" s="6">
        <f t="shared" si="3"/>
        <v>20</v>
      </c>
      <c r="J88" s="4" t="s">
        <v>114</v>
      </c>
    </row>
    <row r="89" spans="1:10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 s="9">
        <f>VLOOKUP(J89,Лист2!$F:$I,2)</f>
        <v>19</v>
      </c>
      <c r="F89" s="9">
        <f>VLOOKUP(J89,Лист2!$F:$I,3)</f>
        <v>1851</v>
      </c>
      <c r="G89" s="9">
        <f>VLOOKUP(J89,Лист2!$F:$I,4)</f>
        <v>1635</v>
      </c>
      <c r="H89" s="9">
        <f t="shared" si="2"/>
        <v>152745.63157894736</v>
      </c>
      <c r="I89" s="9">
        <f t="shared" si="3"/>
        <v>19</v>
      </c>
      <c r="J89" s="4" t="s">
        <v>115</v>
      </c>
    </row>
    <row r="90" spans="1:10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6">
        <f>VLOOKUP(J90,Лист2!$F:$I,2)</f>
        <v>19</v>
      </c>
      <c r="F90" s="6">
        <f>VLOOKUP(J90,Лист2!$F:$I,3)</f>
        <v>1582</v>
      </c>
      <c r="G90" s="6">
        <f>VLOOKUP(J90,Лист2!$F:$I,4)</f>
        <v>1403</v>
      </c>
      <c r="H90" s="6">
        <f t="shared" si="2"/>
        <v>128998.34210526316</v>
      </c>
      <c r="I90" s="6">
        <f t="shared" si="3"/>
        <v>19</v>
      </c>
      <c r="J90" s="4" t="s">
        <v>116</v>
      </c>
    </row>
    <row r="91" spans="1:10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 s="9">
        <f>VLOOKUP(J91,Лист2!$F:$I,2)</f>
        <v>18</v>
      </c>
      <c r="F91" s="9">
        <f>VLOOKUP(J91,Лист2!$F:$I,3)</f>
        <v>1534</v>
      </c>
      <c r="G91" s="9">
        <f>VLOOKUP(J91,Лист2!$F:$I,4)</f>
        <v>1369</v>
      </c>
      <c r="H91" s="9">
        <f t="shared" si="2"/>
        <v>133199.33333333334</v>
      </c>
      <c r="I91" s="9">
        <f t="shared" si="3"/>
        <v>18</v>
      </c>
      <c r="J91" s="4" t="s">
        <v>117</v>
      </c>
    </row>
    <row r="92" spans="1:10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6">
        <f>VLOOKUP(J92,Лист2!$F:$I,2)</f>
        <v>19</v>
      </c>
      <c r="F92" s="6">
        <f>VLOOKUP(J92,Лист2!$F:$I,3)</f>
        <v>1217</v>
      </c>
      <c r="G92" s="6">
        <f>VLOOKUP(J92,Лист2!$F:$I,4)</f>
        <v>1048</v>
      </c>
      <c r="H92" s="6">
        <f t="shared" si="2"/>
        <v>94696.34210526316</v>
      </c>
      <c r="I92" s="6">
        <f t="shared" si="3"/>
        <v>18</v>
      </c>
      <c r="J92" s="4" t="s">
        <v>118</v>
      </c>
    </row>
    <row r="93" spans="1:10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 s="9">
        <f>VLOOKUP(J93,Лист2!$F:$I,2)</f>
        <v>20</v>
      </c>
      <c r="F93" s="9">
        <f>VLOOKUP(J93,Лист2!$F:$I,3)</f>
        <v>2036</v>
      </c>
      <c r="G93" s="9">
        <f>VLOOKUP(J93,Лист2!$F:$I,4)</f>
        <v>1790</v>
      </c>
      <c r="H93" s="9">
        <f t="shared" si="2"/>
        <v>145370.54999999999</v>
      </c>
      <c r="I93" s="9">
        <f t="shared" si="3"/>
        <v>22</v>
      </c>
      <c r="J93" s="4" t="s">
        <v>119</v>
      </c>
    </row>
    <row r="94" spans="1:10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6">
        <f>VLOOKUP(J94,Лист2!$F:$I,2)</f>
        <v>19</v>
      </c>
      <c r="F94" s="6">
        <f>VLOOKUP(J94,Лист2!$F:$I,3)</f>
        <v>1497</v>
      </c>
      <c r="G94" s="6">
        <f>VLOOKUP(J94,Лист2!$F:$I,4)</f>
        <v>1291</v>
      </c>
      <c r="H94" s="6">
        <f t="shared" si="2"/>
        <v>124966.10526315789</v>
      </c>
      <c r="I94" s="6">
        <f t="shared" si="3"/>
        <v>18</v>
      </c>
      <c r="J94" s="4" t="s">
        <v>120</v>
      </c>
    </row>
    <row r="95" spans="1:10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 s="9">
        <f>VLOOKUP(J95,Лист2!$F:$I,2)</f>
        <v>19</v>
      </c>
      <c r="F95" s="9">
        <f>VLOOKUP(J95,Лист2!$F:$I,3)</f>
        <v>1649</v>
      </c>
      <c r="G95" s="9">
        <f>VLOOKUP(J95,Лист2!$F:$I,4)</f>
        <v>1460</v>
      </c>
      <c r="H95" s="9">
        <f t="shared" si="2"/>
        <v>124759.57894736843</v>
      </c>
      <c r="I95" s="9">
        <f t="shared" si="3"/>
        <v>20</v>
      </c>
      <c r="J95" s="4" t="s">
        <v>121</v>
      </c>
    </row>
    <row r="96" spans="1:10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6">
        <f>VLOOKUP(J96,Лист2!$F:$I,2)</f>
        <v>19</v>
      </c>
      <c r="F96" s="6">
        <f>VLOOKUP(J96,Лист2!$F:$I,3)</f>
        <v>1949</v>
      </c>
      <c r="G96" s="6">
        <f>VLOOKUP(J96,Лист2!$F:$I,4)</f>
        <v>1724</v>
      </c>
      <c r="H96" s="6">
        <f t="shared" si="2"/>
        <v>150167.44736842104</v>
      </c>
      <c r="I96" s="6">
        <f t="shared" si="3"/>
        <v>21</v>
      </c>
      <c r="J96" s="4" t="s">
        <v>122</v>
      </c>
    </row>
    <row r="97" spans="1:10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 s="9">
        <f>VLOOKUP(J97,Лист2!$F:$I,2)</f>
        <v>19</v>
      </c>
      <c r="F97" s="9">
        <f>VLOOKUP(J97,Лист2!$F:$I,3)</f>
        <v>1889</v>
      </c>
      <c r="G97" s="9">
        <f>VLOOKUP(J97,Лист2!$F:$I,4)</f>
        <v>1690</v>
      </c>
      <c r="H97" s="9">
        <f t="shared" si="2"/>
        <v>141696.31578947368</v>
      </c>
      <c r="I97" s="9">
        <f t="shared" si="3"/>
        <v>21</v>
      </c>
      <c r="J97" s="4" t="s">
        <v>123</v>
      </c>
    </row>
    <row r="98" spans="1:10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6">
        <f>VLOOKUP(J98,Лист2!$F:$I,2)</f>
        <v>19</v>
      </c>
      <c r="F98" s="6">
        <f>VLOOKUP(J98,Лист2!$F:$I,3)</f>
        <v>1417</v>
      </c>
      <c r="G98" s="6">
        <f>VLOOKUP(J98,Лист2!$F:$I,4)</f>
        <v>1245</v>
      </c>
      <c r="H98" s="6">
        <f t="shared" si="2"/>
        <v>109468.42105263157</v>
      </c>
      <c r="I98" s="6">
        <f t="shared" si="3"/>
        <v>19</v>
      </c>
      <c r="J98" s="4" t="s">
        <v>124</v>
      </c>
    </row>
    <row r="99" spans="1:10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 s="9">
        <f>VLOOKUP(J99,Лист2!$F:$I,2)</f>
        <v>17</v>
      </c>
      <c r="F99" s="9">
        <f>VLOOKUP(J99,Лист2!$F:$I,3)</f>
        <v>1439</v>
      </c>
      <c r="G99" s="9">
        <f>VLOOKUP(J99,Лист2!$F:$I,4)</f>
        <v>1265</v>
      </c>
      <c r="H99" s="9">
        <f t="shared" si="2"/>
        <v>125695.14705882352</v>
      </c>
      <c r="I99" s="9">
        <f t="shared" si="3"/>
        <v>18</v>
      </c>
      <c r="J99" s="4" t="s">
        <v>125</v>
      </c>
    </row>
    <row r="100" spans="1:10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6">
        <f>VLOOKUP(J100,Лист2!$F:$I,2)</f>
        <v>19</v>
      </c>
      <c r="F100" s="6">
        <f>VLOOKUP(J100,Лист2!$F:$I,3)</f>
        <v>1625</v>
      </c>
      <c r="G100" s="6">
        <f>VLOOKUP(J100,Лист2!$F:$I,4)</f>
        <v>1444</v>
      </c>
      <c r="H100" s="6">
        <f t="shared" si="2"/>
        <v>124912.5</v>
      </c>
      <c r="I100" s="6">
        <f t="shared" si="3"/>
        <v>20</v>
      </c>
      <c r="J100" s="4" t="s">
        <v>126</v>
      </c>
    </row>
    <row r="101" spans="1:10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 s="9">
        <f>VLOOKUP(J101,Лист2!$F:$I,2)</f>
        <v>19</v>
      </c>
      <c r="F101" s="9">
        <f>VLOOKUP(J101,Лист2!$F:$I,3)</f>
        <v>1402</v>
      </c>
      <c r="G101" s="9">
        <f>VLOOKUP(J101,Лист2!$F:$I,4)</f>
        <v>1234</v>
      </c>
      <c r="H101" s="9">
        <f t="shared" si="2"/>
        <v>114226.81578947368</v>
      </c>
      <c r="I101" s="9">
        <f t="shared" si="3"/>
        <v>18</v>
      </c>
      <c r="J101" s="4" t="s">
        <v>127</v>
      </c>
    </row>
    <row r="102" spans="1:10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6">
        <f>VLOOKUP(J102,Лист2!$F:$I,2)</f>
        <v>19</v>
      </c>
      <c r="F102" s="6">
        <f>VLOOKUP(J102,Лист2!$F:$I,3)</f>
        <v>1499</v>
      </c>
      <c r="G102" s="6">
        <f>VLOOKUP(J102,Лист2!$F:$I,4)</f>
        <v>1323</v>
      </c>
      <c r="H102" s="6">
        <f t="shared" si="2"/>
        <v>117501</v>
      </c>
      <c r="I102" s="6">
        <f t="shared" si="3"/>
        <v>19</v>
      </c>
      <c r="J102" s="4" t="s">
        <v>128</v>
      </c>
    </row>
    <row r="103" spans="1:10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 s="9">
        <f>VLOOKUP(J103,Лист2!$F:$I,2)</f>
        <v>20</v>
      </c>
      <c r="F103" s="9">
        <f>VLOOKUP(J103,Лист2!$F:$I,3)</f>
        <v>2266</v>
      </c>
      <c r="G103" s="9">
        <f>VLOOKUP(J103,Лист2!$F:$I,4)</f>
        <v>1993</v>
      </c>
      <c r="H103" s="9">
        <f t="shared" si="2"/>
        <v>169268.625</v>
      </c>
      <c r="I103" s="9">
        <f t="shared" si="3"/>
        <v>21</v>
      </c>
      <c r="J103" s="4" t="s">
        <v>129</v>
      </c>
    </row>
    <row r="104" spans="1:10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6">
        <f>VLOOKUP(J104,Лист2!$F:$I,2)</f>
        <v>20</v>
      </c>
      <c r="F104" s="6">
        <f>VLOOKUP(J104,Лист2!$F:$I,3)</f>
        <v>2011</v>
      </c>
      <c r="G104" s="6">
        <f>VLOOKUP(J104,Лист2!$F:$I,4)</f>
        <v>1791</v>
      </c>
      <c r="H104" s="6">
        <f t="shared" si="2"/>
        <v>143286.375</v>
      </c>
      <c r="I104" s="6">
        <f t="shared" si="3"/>
        <v>22</v>
      </c>
      <c r="J104" s="4" t="s">
        <v>130</v>
      </c>
    </row>
    <row r="105" spans="1:10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 s="9">
        <f>VLOOKUP(J105,Лист2!$F:$I,2)</f>
        <v>19</v>
      </c>
      <c r="F105" s="9">
        <f>VLOOKUP(J105,Лист2!$F:$I,3)</f>
        <v>1499</v>
      </c>
      <c r="G105" s="9">
        <f>VLOOKUP(J105,Лист2!$F:$I,4)</f>
        <v>1322</v>
      </c>
      <c r="H105" s="9">
        <f t="shared" si="2"/>
        <v>119350.73684210527</v>
      </c>
      <c r="I105" s="9">
        <f t="shared" si="3"/>
        <v>18</v>
      </c>
      <c r="J105" s="4" t="s">
        <v>131</v>
      </c>
    </row>
    <row r="106" spans="1:10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6">
        <f>VLOOKUP(J106,Лист2!$F:$I,2)</f>
        <v>19</v>
      </c>
      <c r="F106" s="6">
        <f>VLOOKUP(J106,Лист2!$F:$I,3)</f>
        <v>1848</v>
      </c>
      <c r="G106" s="6">
        <f>VLOOKUP(J106,Лист2!$F:$I,4)</f>
        <v>1649</v>
      </c>
      <c r="H106" s="6">
        <f t="shared" si="2"/>
        <v>150647.28947368421</v>
      </c>
      <c r="I106" s="6">
        <f t="shared" si="3"/>
        <v>19</v>
      </c>
      <c r="J106" s="4" t="s">
        <v>132</v>
      </c>
    </row>
    <row r="107" spans="1:10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 s="9">
        <f>VLOOKUP(J107,Лист2!$F:$I,2)</f>
        <v>19</v>
      </c>
      <c r="F107" s="9">
        <f>VLOOKUP(J107,Лист2!$F:$I,3)</f>
        <v>1522</v>
      </c>
      <c r="G107" s="9">
        <f>VLOOKUP(J107,Лист2!$F:$I,4)</f>
        <v>1340</v>
      </c>
      <c r="H107" s="9">
        <f t="shared" si="2"/>
        <v>119550.23684210527</v>
      </c>
      <c r="I107" s="9">
        <f t="shared" si="3"/>
        <v>19</v>
      </c>
      <c r="J107" s="4" t="s">
        <v>133</v>
      </c>
    </row>
    <row r="108" spans="1:10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6">
        <f>VLOOKUP(J108,Лист2!$F:$I,2)</f>
        <v>19</v>
      </c>
      <c r="F108" s="6">
        <f>VLOOKUP(J108,Лист2!$F:$I,3)</f>
        <v>1530</v>
      </c>
      <c r="G108" s="6">
        <f>VLOOKUP(J108,Лист2!$F:$I,4)</f>
        <v>1338</v>
      </c>
      <c r="H108" s="6">
        <f t="shared" si="2"/>
        <v>123719.60526315789</v>
      </c>
      <c r="I108" s="6">
        <f t="shared" si="3"/>
        <v>19</v>
      </c>
      <c r="J108" s="4" t="s">
        <v>134</v>
      </c>
    </row>
    <row r="109" spans="1:10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 s="9">
        <f>VLOOKUP(J109,Лист2!$F:$I,2)</f>
        <v>20</v>
      </c>
      <c r="F109" s="9">
        <f>VLOOKUP(J109,Лист2!$F:$I,3)</f>
        <v>2015</v>
      </c>
      <c r="G109" s="9">
        <f>VLOOKUP(J109,Лист2!$F:$I,4)</f>
        <v>1803</v>
      </c>
      <c r="H109" s="9">
        <f t="shared" si="2"/>
        <v>145776.67499999999</v>
      </c>
      <c r="I109" s="9">
        <f t="shared" si="3"/>
        <v>21</v>
      </c>
      <c r="J109" s="4" t="s">
        <v>135</v>
      </c>
    </row>
    <row r="110" spans="1:10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6">
        <f>VLOOKUP(J110,Лист2!$F:$I,2)</f>
        <v>20</v>
      </c>
      <c r="F110" s="6">
        <f>VLOOKUP(J110,Лист2!$F:$I,3)</f>
        <v>2060</v>
      </c>
      <c r="G110" s="6">
        <f>VLOOKUP(J110,Лист2!$F:$I,4)</f>
        <v>1826</v>
      </c>
      <c r="H110" s="6">
        <f t="shared" si="2"/>
        <v>149599.95000000001</v>
      </c>
      <c r="I110" s="6">
        <f t="shared" si="3"/>
        <v>22</v>
      </c>
      <c r="J110" s="4" t="s">
        <v>136</v>
      </c>
    </row>
    <row r="111" spans="1:10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 s="9">
        <f>VLOOKUP(J111,Лист2!$F:$I,2)</f>
        <v>20</v>
      </c>
      <c r="F111" s="9">
        <f>VLOOKUP(J111,Лист2!$F:$I,3)</f>
        <v>2451</v>
      </c>
      <c r="G111" s="9">
        <f>VLOOKUP(J111,Лист2!$F:$I,4)</f>
        <v>2178</v>
      </c>
      <c r="H111" s="9">
        <f t="shared" si="2"/>
        <v>182708.32500000001</v>
      </c>
      <c r="I111" s="9">
        <f t="shared" si="3"/>
        <v>22</v>
      </c>
      <c r="J111" s="4" t="s">
        <v>137</v>
      </c>
    </row>
    <row r="112" spans="1:10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6">
        <f>VLOOKUP(J112,Лист2!$F:$I,2)</f>
        <v>20</v>
      </c>
      <c r="F112" s="6">
        <f>VLOOKUP(J112,Лист2!$F:$I,3)</f>
        <v>2088</v>
      </c>
      <c r="G112" s="6">
        <f>VLOOKUP(J112,Лист2!$F:$I,4)</f>
        <v>1848</v>
      </c>
      <c r="H112" s="6">
        <f t="shared" si="2"/>
        <v>150210.67499999999</v>
      </c>
      <c r="I112" s="6">
        <f t="shared" si="3"/>
        <v>22</v>
      </c>
      <c r="J112" s="4" t="s">
        <v>138</v>
      </c>
    </row>
    <row r="113" spans="1:10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 s="9">
        <f>VLOOKUP(J113,Лист2!$F:$I,2)</f>
        <v>129</v>
      </c>
      <c r="F113" s="9">
        <f>VLOOKUP(J113,Лист2!$F:$I,3)</f>
        <v>17914</v>
      </c>
      <c r="G113" s="9">
        <f>VLOOKUP(J113,Лист2!$F:$I,4)</f>
        <v>16631</v>
      </c>
      <c r="H113" s="9">
        <f t="shared" si="2"/>
        <v>249890.41860465117</v>
      </c>
      <c r="I113" s="9">
        <f t="shared" si="3"/>
        <v>20</v>
      </c>
      <c r="J113" s="4" t="s">
        <v>139</v>
      </c>
    </row>
    <row r="114" spans="1:10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6">
        <f>VLOOKUP(J114,Лист2!$F:$I,2)</f>
        <v>129</v>
      </c>
      <c r="F114" s="6">
        <f>VLOOKUP(J114,Лист2!$F:$I,3)</f>
        <v>16191</v>
      </c>
      <c r="G114" s="6">
        <f>VLOOKUP(J114,Лист2!$F:$I,4)</f>
        <v>15102</v>
      </c>
      <c r="H114" s="6">
        <f t="shared" si="2"/>
        <v>210028.09302325582</v>
      </c>
      <c r="I114" s="6">
        <f t="shared" si="3"/>
        <v>21</v>
      </c>
      <c r="J114" s="4" t="s">
        <v>140</v>
      </c>
    </row>
    <row r="115" spans="1:10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 s="9">
        <f>VLOOKUP(J115,Лист2!$F:$I,2)</f>
        <v>129</v>
      </c>
      <c r="F115" s="9">
        <f>VLOOKUP(J115,Лист2!$F:$I,3)</f>
        <v>15744</v>
      </c>
      <c r="G115" s="9">
        <f>VLOOKUP(J115,Лист2!$F:$I,4)</f>
        <v>14685</v>
      </c>
      <c r="H115" s="9">
        <f t="shared" si="2"/>
        <v>206666.12790697673</v>
      </c>
      <c r="I115" s="9">
        <f t="shared" si="3"/>
        <v>20</v>
      </c>
      <c r="J115" s="4" t="s">
        <v>141</v>
      </c>
    </row>
    <row r="116" spans="1:10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6">
        <f>VLOOKUP(J116,Лист2!$F:$I,2)</f>
        <v>129</v>
      </c>
      <c r="F116" s="6">
        <f>VLOOKUP(J116,Лист2!$F:$I,3)</f>
        <v>16420</v>
      </c>
      <c r="G116" s="6">
        <f>VLOOKUP(J116,Лист2!$F:$I,4)</f>
        <v>15169</v>
      </c>
      <c r="H116" s="6">
        <f t="shared" si="2"/>
        <v>230761.23255813954</v>
      </c>
      <c r="I116" s="6">
        <f t="shared" si="3"/>
        <v>19</v>
      </c>
      <c r="J116" s="4" t="s">
        <v>142</v>
      </c>
    </row>
    <row r="117" spans="1:10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 s="9">
        <f>VLOOKUP(J117,Лист2!$F:$I,2)</f>
        <v>129</v>
      </c>
      <c r="F117" s="9">
        <f>VLOOKUP(J117,Лист2!$F:$I,3)</f>
        <v>16525</v>
      </c>
      <c r="G117" s="9">
        <f>VLOOKUP(J117,Лист2!$F:$I,4)</f>
        <v>15310</v>
      </c>
      <c r="H117" s="9">
        <f t="shared" si="2"/>
        <v>227580.93023255814</v>
      </c>
      <c r="I117" s="9">
        <f t="shared" si="3"/>
        <v>19</v>
      </c>
      <c r="J117" s="4" t="s">
        <v>143</v>
      </c>
    </row>
    <row r="118" spans="1:10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6">
        <f>VLOOKUP(J118,Лист2!$F:$I,2)</f>
        <v>128</v>
      </c>
      <c r="F118" s="6">
        <f>VLOOKUP(J118,Лист2!$F:$I,3)</f>
        <v>17368</v>
      </c>
      <c r="G118" s="6">
        <f>VLOOKUP(J118,Лист2!$F:$I,4)</f>
        <v>16077</v>
      </c>
      <c r="H118" s="6">
        <f t="shared" si="2"/>
        <v>241166.30859375</v>
      </c>
      <c r="I118" s="6">
        <f t="shared" si="3"/>
        <v>18</v>
      </c>
      <c r="J118" s="4" t="s">
        <v>144</v>
      </c>
    </row>
    <row r="119" spans="1:10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 s="9">
        <f>VLOOKUP(J119,Лист2!$F:$I,2)</f>
        <v>129</v>
      </c>
      <c r="F119" s="9">
        <f>VLOOKUP(J119,Лист2!$F:$I,3)</f>
        <v>14009</v>
      </c>
      <c r="G119" s="9">
        <f>VLOOKUP(J119,Лист2!$F:$I,4)</f>
        <v>12920</v>
      </c>
      <c r="H119" s="9">
        <f t="shared" si="2"/>
        <v>188697.8023255814</v>
      </c>
      <c r="I119" s="9">
        <f t="shared" si="3"/>
        <v>18</v>
      </c>
      <c r="J119" s="4" t="s">
        <v>145</v>
      </c>
    </row>
    <row r="120" spans="1:10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6">
        <f>VLOOKUP(J120,Лист2!$F:$I,2)</f>
        <v>129</v>
      </c>
      <c r="F120" s="6">
        <f>VLOOKUP(J120,Лист2!$F:$I,3)</f>
        <v>16459</v>
      </c>
      <c r="G120" s="6">
        <f>VLOOKUP(J120,Лист2!$F:$I,4)</f>
        <v>15355</v>
      </c>
      <c r="H120" s="6">
        <f t="shared" si="2"/>
        <v>216066.80541744188</v>
      </c>
      <c r="I120" s="6">
        <f t="shared" si="3"/>
        <v>22</v>
      </c>
      <c r="J120" s="4" t="s">
        <v>146</v>
      </c>
    </row>
    <row r="121" spans="1:10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 s="9">
        <f>VLOOKUP(J121,Лист2!$F:$I,2)</f>
        <v>129</v>
      </c>
      <c r="F121" s="9">
        <f>VLOOKUP(J121,Лист2!$F:$I,3)</f>
        <v>17002</v>
      </c>
      <c r="G121" s="9">
        <f>VLOOKUP(J121,Лист2!$F:$I,4)</f>
        <v>15570</v>
      </c>
      <c r="H121" s="9">
        <f t="shared" si="2"/>
        <v>240723.38372093023</v>
      </c>
      <c r="I121" s="9">
        <f t="shared" si="3"/>
        <v>18</v>
      </c>
      <c r="J121" s="4" t="s">
        <v>147</v>
      </c>
    </row>
    <row r="122" spans="1:10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6">
        <f>VLOOKUP(J122,Лист2!$F:$I,2)</f>
        <v>129</v>
      </c>
      <c r="F122" s="6">
        <f>VLOOKUP(J122,Лист2!$F:$I,3)</f>
        <v>16387</v>
      </c>
      <c r="G122" s="6">
        <f>VLOOKUP(J122,Лист2!$F:$I,4)</f>
        <v>15322</v>
      </c>
      <c r="H122" s="6">
        <f t="shared" si="2"/>
        <v>225135.81395348837</v>
      </c>
      <c r="I122" s="6">
        <f t="shared" si="3"/>
        <v>20</v>
      </c>
      <c r="J122" s="4" t="s">
        <v>148</v>
      </c>
    </row>
    <row r="123" spans="1:10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 s="9">
        <f>VLOOKUP(J123,Лист2!$F:$I,2)</f>
        <v>129</v>
      </c>
      <c r="F123" s="9">
        <f>VLOOKUP(J123,Лист2!$F:$I,3)</f>
        <v>16373</v>
      </c>
      <c r="G123" s="9">
        <f>VLOOKUP(J123,Лист2!$F:$I,4)</f>
        <v>15223</v>
      </c>
      <c r="H123" s="9">
        <f t="shared" si="2"/>
        <v>215913.95348837209</v>
      </c>
      <c r="I123" s="9">
        <f t="shared" si="3"/>
        <v>21</v>
      </c>
      <c r="J123" s="4" t="s">
        <v>149</v>
      </c>
    </row>
    <row r="124" spans="1:10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6">
        <f>VLOOKUP(J124,Лист2!$F:$I,2)</f>
        <v>129</v>
      </c>
      <c r="F124" s="6">
        <f>VLOOKUP(J124,Лист2!$F:$I,3)</f>
        <v>17095</v>
      </c>
      <c r="G124" s="6">
        <f>VLOOKUP(J124,Лист2!$F:$I,4)</f>
        <v>15919</v>
      </c>
      <c r="H124" s="6">
        <f t="shared" si="2"/>
        <v>227664.8962593023</v>
      </c>
      <c r="I124" s="6">
        <f t="shared" si="3"/>
        <v>21</v>
      </c>
      <c r="J124" s="4" t="s">
        <v>150</v>
      </c>
    </row>
    <row r="125" spans="1:10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 s="9">
        <f>VLOOKUP(J125,Лист2!$F:$I,2)</f>
        <v>129</v>
      </c>
      <c r="F125" s="9">
        <f>VLOOKUP(J125,Лист2!$F:$I,3)</f>
        <v>15665</v>
      </c>
      <c r="G125" s="9">
        <f>VLOOKUP(J125,Лист2!$F:$I,4)</f>
        <v>14501</v>
      </c>
      <c r="H125" s="9">
        <f t="shared" si="2"/>
        <v>211460.78406976743</v>
      </c>
      <c r="I125" s="9">
        <f t="shared" si="3"/>
        <v>19</v>
      </c>
      <c r="J125" s="4" t="s">
        <v>151</v>
      </c>
    </row>
    <row r="126" spans="1:10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6">
        <f>VLOOKUP(J126,Лист2!$F:$I,2)</f>
        <v>128</v>
      </c>
      <c r="F126" s="6">
        <f>VLOOKUP(J126,Лист2!$F:$I,3)</f>
        <v>16450</v>
      </c>
      <c r="G126" s="6">
        <f>VLOOKUP(J126,Лист2!$F:$I,4)</f>
        <v>15320</v>
      </c>
      <c r="H126" s="6">
        <f t="shared" si="2"/>
        <v>227804.94140625</v>
      </c>
      <c r="I126" s="6">
        <f t="shared" si="3"/>
        <v>18</v>
      </c>
      <c r="J126" s="4" t="s">
        <v>152</v>
      </c>
    </row>
    <row r="127" spans="1:10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 s="9">
        <f>VLOOKUP(J127,Лист2!$F:$I,2)</f>
        <v>129</v>
      </c>
      <c r="F127" s="9">
        <f>VLOOKUP(J127,Лист2!$F:$I,3)</f>
        <v>15304</v>
      </c>
      <c r="G127" s="9">
        <f>VLOOKUP(J127,Лист2!$F:$I,4)</f>
        <v>14315</v>
      </c>
      <c r="H127" s="9">
        <f t="shared" si="2"/>
        <v>205174.05813953487</v>
      </c>
      <c r="I127" s="9">
        <f t="shared" si="3"/>
        <v>20</v>
      </c>
      <c r="J127" s="4" t="s">
        <v>153</v>
      </c>
    </row>
    <row r="128" spans="1:10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6">
        <f>VLOOKUP(J128,Лист2!$F:$I,2)</f>
        <v>129</v>
      </c>
      <c r="F128" s="6">
        <f>VLOOKUP(J128,Лист2!$F:$I,3)</f>
        <v>15778</v>
      </c>
      <c r="G128" s="6">
        <f>VLOOKUP(J128,Лист2!$F:$I,4)</f>
        <v>14624</v>
      </c>
      <c r="H128" s="6">
        <f t="shared" si="2"/>
        <v>220364.34883720931</v>
      </c>
      <c r="I128" s="6">
        <f t="shared" si="3"/>
        <v>18</v>
      </c>
      <c r="J128" s="4" t="s">
        <v>154</v>
      </c>
    </row>
    <row r="129" spans="1:10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 s="9">
        <f>VLOOKUP(J129,Лист2!$F:$I,2)</f>
        <v>129</v>
      </c>
      <c r="F129" s="9">
        <f>VLOOKUP(J129,Лист2!$F:$I,3)</f>
        <v>16376</v>
      </c>
      <c r="G129" s="9">
        <f>VLOOKUP(J129,Лист2!$F:$I,4)</f>
        <v>15197</v>
      </c>
      <c r="H129" s="9">
        <f t="shared" si="2"/>
        <v>223029.53570232558</v>
      </c>
      <c r="I129" s="9">
        <f t="shared" si="3"/>
        <v>19</v>
      </c>
      <c r="J129" s="4" t="s">
        <v>155</v>
      </c>
    </row>
    <row r="130" spans="1:10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6">
        <f>VLOOKUP(J130,Лист2!$F:$I,2)</f>
        <v>129</v>
      </c>
      <c r="F130" s="6">
        <f>VLOOKUP(J130,Лист2!$F:$I,3)</f>
        <v>19856</v>
      </c>
      <c r="G130" s="6">
        <f>VLOOKUP(J130,Лист2!$F:$I,4)</f>
        <v>18325</v>
      </c>
      <c r="H130" s="6">
        <f t="shared" si="2"/>
        <v>272123.46288023255</v>
      </c>
      <c r="I130" s="6">
        <f t="shared" si="3"/>
        <v>21</v>
      </c>
      <c r="J130" s="4" t="s">
        <v>156</v>
      </c>
    </row>
    <row r="131" spans="1:10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 s="9">
        <f>VLOOKUP(J131,Лист2!$F:$I,2)</f>
        <v>129</v>
      </c>
      <c r="F131" s="9">
        <f>VLOOKUP(J131,Лист2!$F:$I,3)</f>
        <v>15822</v>
      </c>
      <c r="G131" s="9">
        <f>VLOOKUP(J131,Лист2!$F:$I,4)</f>
        <v>14753</v>
      </c>
      <c r="H131" s="9">
        <f t="shared" ref="H131:H194" si="4">D131/E131</f>
        <v>210588.47674418605</v>
      </c>
      <c r="I131" s="9">
        <f t="shared" ref="I131:I194" si="5">WEEKNUM(A131,2)</f>
        <v>22</v>
      </c>
      <c r="J131" s="4" t="s">
        <v>157</v>
      </c>
    </row>
    <row r="132" spans="1:10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6">
        <f>VLOOKUP(J132,Лист2!$F:$I,2)</f>
        <v>129</v>
      </c>
      <c r="F132" s="6">
        <f>VLOOKUP(J132,Лист2!$F:$I,3)</f>
        <v>18042</v>
      </c>
      <c r="G132" s="6">
        <f>VLOOKUP(J132,Лист2!$F:$I,4)</f>
        <v>16631</v>
      </c>
      <c r="H132" s="6">
        <f t="shared" si="4"/>
        <v>251309.13953488372</v>
      </c>
      <c r="I132" s="6">
        <f t="shared" si="5"/>
        <v>18</v>
      </c>
      <c r="J132" s="4" t="s">
        <v>158</v>
      </c>
    </row>
    <row r="133" spans="1:10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 s="9">
        <f>VLOOKUP(J133,Лист2!$F:$I,2)</f>
        <v>129</v>
      </c>
      <c r="F133" s="9">
        <f>VLOOKUP(J133,Лист2!$F:$I,3)</f>
        <v>16437</v>
      </c>
      <c r="G133" s="9">
        <f>VLOOKUP(J133,Лист2!$F:$I,4)</f>
        <v>15285</v>
      </c>
      <c r="H133" s="9">
        <f t="shared" si="4"/>
        <v>228962.6054732558</v>
      </c>
      <c r="I133" s="9">
        <f t="shared" si="5"/>
        <v>19</v>
      </c>
      <c r="J133" s="4" t="s">
        <v>159</v>
      </c>
    </row>
    <row r="134" spans="1:10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6">
        <f>VLOOKUP(J134,Лист2!$F:$I,2)</f>
        <v>129</v>
      </c>
      <c r="F134" s="6">
        <f>VLOOKUP(J134,Лист2!$F:$I,3)</f>
        <v>20452</v>
      </c>
      <c r="G134" s="6">
        <f>VLOOKUP(J134,Лист2!$F:$I,4)</f>
        <v>18857</v>
      </c>
      <c r="H134" s="6">
        <f t="shared" si="4"/>
        <v>295283.38372093026</v>
      </c>
      <c r="I134" s="6">
        <f t="shared" si="5"/>
        <v>19</v>
      </c>
      <c r="J134" s="4" t="s">
        <v>160</v>
      </c>
    </row>
    <row r="135" spans="1:10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 s="9">
        <f>VLOOKUP(J135,Лист2!$F:$I,2)</f>
        <v>129</v>
      </c>
      <c r="F135" s="9">
        <f>VLOOKUP(J135,Лист2!$F:$I,3)</f>
        <v>14582</v>
      </c>
      <c r="G135" s="9">
        <f>VLOOKUP(J135,Лист2!$F:$I,4)</f>
        <v>13512</v>
      </c>
      <c r="H135" s="9">
        <f t="shared" si="4"/>
        <v>196319.93023255814</v>
      </c>
      <c r="I135" s="9">
        <f t="shared" si="5"/>
        <v>19</v>
      </c>
      <c r="J135" s="4" t="s">
        <v>161</v>
      </c>
    </row>
    <row r="136" spans="1:10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6">
        <f>VLOOKUP(J136,Лист2!$F:$I,2)</f>
        <v>129</v>
      </c>
      <c r="F136" s="6">
        <f>VLOOKUP(J136,Лист2!$F:$I,3)</f>
        <v>16432</v>
      </c>
      <c r="G136" s="6">
        <f>VLOOKUP(J136,Лист2!$F:$I,4)</f>
        <v>15345</v>
      </c>
      <c r="H136" s="6">
        <f t="shared" si="4"/>
        <v>218515.76744186046</v>
      </c>
      <c r="I136" s="6">
        <f t="shared" si="5"/>
        <v>21</v>
      </c>
      <c r="J136" s="4" t="s">
        <v>162</v>
      </c>
    </row>
    <row r="137" spans="1:10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 s="9">
        <f>VLOOKUP(J137,Лист2!$F:$I,2)</f>
        <v>125</v>
      </c>
      <c r="F137" s="9">
        <f>VLOOKUP(J137,Лист2!$F:$I,3)</f>
        <v>22291</v>
      </c>
      <c r="G137" s="9">
        <f>VLOOKUP(J137,Лист2!$F:$I,4)</f>
        <v>20635</v>
      </c>
      <c r="H137" s="9">
        <f t="shared" si="4"/>
        <v>338589.04800000001</v>
      </c>
      <c r="I137" s="9">
        <f t="shared" si="5"/>
        <v>20</v>
      </c>
      <c r="J137" s="4" t="s">
        <v>163</v>
      </c>
    </row>
    <row r="138" spans="1:10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6">
        <f>VLOOKUP(J138,Лист2!$F:$I,2)</f>
        <v>125</v>
      </c>
      <c r="F138" s="6">
        <f>VLOOKUP(J138,Лист2!$F:$I,3)</f>
        <v>20771</v>
      </c>
      <c r="G138" s="6">
        <f>VLOOKUP(J138,Лист2!$F:$I,4)</f>
        <v>19338</v>
      </c>
      <c r="H138" s="6">
        <f t="shared" si="4"/>
        <v>296185.94400000002</v>
      </c>
      <c r="I138" s="6">
        <f t="shared" si="5"/>
        <v>21</v>
      </c>
      <c r="J138" s="4" t="s">
        <v>164</v>
      </c>
    </row>
    <row r="139" spans="1:10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 s="9">
        <f>VLOOKUP(J139,Лист2!$F:$I,2)</f>
        <v>125</v>
      </c>
      <c r="F139" s="9">
        <f>VLOOKUP(J139,Лист2!$F:$I,3)</f>
        <v>20079</v>
      </c>
      <c r="G139" s="9">
        <f>VLOOKUP(J139,Лист2!$F:$I,4)</f>
        <v>18721</v>
      </c>
      <c r="H139" s="9">
        <f t="shared" si="4"/>
        <v>294676.53600000002</v>
      </c>
      <c r="I139" s="9">
        <f t="shared" si="5"/>
        <v>20</v>
      </c>
      <c r="J139" s="4" t="s">
        <v>165</v>
      </c>
    </row>
    <row r="140" spans="1:10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6">
        <f>VLOOKUP(J140,Лист2!$F:$I,2)</f>
        <v>125</v>
      </c>
      <c r="F140" s="6">
        <f>VLOOKUP(J140,Лист2!$F:$I,3)</f>
        <v>20132</v>
      </c>
      <c r="G140" s="6">
        <f>VLOOKUP(J140,Лист2!$F:$I,4)</f>
        <v>18617</v>
      </c>
      <c r="H140" s="6">
        <f t="shared" si="4"/>
        <v>309547.41600000003</v>
      </c>
      <c r="I140" s="6">
        <f t="shared" si="5"/>
        <v>19</v>
      </c>
      <c r="J140" s="4" t="s">
        <v>166</v>
      </c>
    </row>
    <row r="141" spans="1:10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 s="9">
        <f>VLOOKUP(J141,Лист2!$F:$I,2)</f>
        <v>125</v>
      </c>
      <c r="F141" s="9">
        <f>VLOOKUP(J141,Лист2!$F:$I,3)</f>
        <v>20495</v>
      </c>
      <c r="G141" s="9">
        <f>VLOOKUP(J141,Лист2!$F:$I,4)</f>
        <v>18964</v>
      </c>
      <c r="H141" s="9">
        <f t="shared" si="4"/>
        <v>307255.63199999998</v>
      </c>
      <c r="I141" s="9">
        <f t="shared" si="5"/>
        <v>19</v>
      </c>
      <c r="J141" s="4" t="s">
        <v>167</v>
      </c>
    </row>
    <row r="142" spans="1:10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6">
        <f>VLOOKUP(J142,Лист2!$F:$I,2)</f>
        <v>125</v>
      </c>
      <c r="F142" s="6">
        <f>VLOOKUP(J142,Лист2!$F:$I,3)</f>
        <v>21863</v>
      </c>
      <c r="G142" s="6">
        <f>VLOOKUP(J142,Лист2!$F:$I,4)</f>
        <v>20160</v>
      </c>
      <c r="H142" s="6">
        <f t="shared" si="4"/>
        <v>332475.07199999999</v>
      </c>
      <c r="I142" s="6">
        <f t="shared" si="5"/>
        <v>18</v>
      </c>
      <c r="J142" s="4" t="s">
        <v>168</v>
      </c>
    </row>
    <row r="143" spans="1:10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 s="9">
        <f>VLOOKUP(J143,Лист2!$F:$I,2)</f>
        <v>125</v>
      </c>
      <c r="F143" s="9">
        <f>VLOOKUP(J143,Лист2!$F:$I,3)</f>
        <v>16932</v>
      </c>
      <c r="G143" s="9">
        <f>VLOOKUP(J143,Лист2!$F:$I,4)</f>
        <v>15601</v>
      </c>
      <c r="H143" s="9">
        <f t="shared" si="4"/>
        <v>254749.89600000001</v>
      </c>
      <c r="I143" s="9">
        <f t="shared" si="5"/>
        <v>18</v>
      </c>
      <c r="J143" s="4" t="s">
        <v>169</v>
      </c>
    </row>
    <row r="144" spans="1:10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6">
        <f>VLOOKUP(J144,Лист2!$F:$I,2)</f>
        <v>124</v>
      </c>
      <c r="F144" s="6">
        <f>VLOOKUP(J144,Лист2!$F:$I,3)</f>
        <v>21153</v>
      </c>
      <c r="G144" s="6">
        <f>VLOOKUP(J144,Лист2!$F:$I,4)</f>
        <v>19673</v>
      </c>
      <c r="H144" s="6">
        <f t="shared" si="4"/>
        <v>309402.90725806454</v>
      </c>
      <c r="I144" s="6">
        <f t="shared" si="5"/>
        <v>22</v>
      </c>
      <c r="J144" s="4" t="s">
        <v>170</v>
      </c>
    </row>
    <row r="145" spans="1:10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 s="9">
        <f>VLOOKUP(J145,Лист2!$F:$I,2)</f>
        <v>125</v>
      </c>
      <c r="F145" s="9">
        <f>VLOOKUP(J145,Лист2!$F:$I,3)</f>
        <v>20602</v>
      </c>
      <c r="G145" s="9">
        <f>VLOOKUP(J145,Лист2!$F:$I,4)</f>
        <v>18845</v>
      </c>
      <c r="H145" s="9">
        <f t="shared" si="4"/>
        <v>320617.54800000001</v>
      </c>
      <c r="I145" s="9">
        <f t="shared" si="5"/>
        <v>18</v>
      </c>
      <c r="J145" s="4" t="s">
        <v>171</v>
      </c>
    </row>
    <row r="146" spans="1:10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6">
        <f>VLOOKUP(J146,Лист2!$F:$I,2)</f>
        <v>125</v>
      </c>
      <c r="F146" s="6">
        <f>VLOOKUP(J146,Лист2!$F:$I,3)</f>
        <v>21106</v>
      </c>
      <c r="G146" s="6">
        <f>VLOOKUP(J146,Лист2!$F:$I,4)</f>
        <v>19651</v>
      </c>
      <c r="H146" s="6">
        <f t="shared" si="4"/>
        <v>316628.61599999998</v>
      </c>
      <c r="I146" s="6">
        <f t="shared" si="5"/>
        <v>20</v>
      </c>
      <c r="J146" s="4" t="s">
        <v>172</v>
      </c>
    </row>
    <row r="147" spans="1:10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 s="9">
        <f>VLOOKUP(J147,Лист2!$F:$I,2)</f>
        <v>125</v>
      </c>
      <c r="F147" s="9">
        <f>VLOOKUP(J147,Лист2!$F:$I,3)</f>
        <v>20911</v>
      </c>
      <c r="G147" s="9">
        <f>VLOOKUP(J147,Лист2!$F:$I,4)</f>
        <v>19358</v>
      </c>
      <c r="H147" s="9">
        <f t="shared" si="4"/>
        <v>303217.25255999999</v>
      </c>
      <c r="I147" s="9">
        <f t="shared" si="5"/>
        <v>21</v>
      </c>
      <c r="J147" s="4" t="s">
        <v>173</v>
      </c>
    </row>
    <row r="148" spans="1:10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6">
        <f>VLOOKUP(J148,Лист2!$F:$I,2)</f>
        <v>125</v>
      </c>
      <c r="F148" s="6">
        <f>VLOOKUP(J148,Лист2!$F:$I,3)</f>
        <v>21674</v>
      </c>
      <c r="G148" s="6">
        <f>VLOOKUP(J148,Лист2!$F:$I,4)</f>
        <v>20155</v>
      </c>
      <c r="H148" s="6">
        <f t="shared" si="4"/>
        <v>317114.47200000001</v>
      </c>
      <c r="I148" s="6">
        <f t="shared" si="5"/>
        <v>21</v>
      </c>
      <c r="J148" s="4" t="s">
        <v>174</v>
      </c>
    </row>
    <row r="149" spans="1:10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 s="9">
        <f>VLOOKUP(J149,Лист2!$F:$I,2)</f>
        <v>125</v>
      </c>
      <c r="F149" s="9">
        <f>VLOOKUP(J149,Лист2!$F:$I,3)</f>
        <v>18944</v>
      </c>
      <c r="G149" s="9">
        <f>VLOOKUP(J149,Лист2!$F:$I,4)</f>
        <v>17541</v>
      </c>
      <c r="H149" s="9">
        <f t="shared" si="4"/>
        <v>285373.87199999997</v>
      </c>
      <c r="I149" s="9">
        <f t="shared" si="5"/>
        <v>19</v>
      </c>
      <c r="J149" s="4" t="s">
        <v>175</v>
      </c>
    </row>
    <row r="150" spans="1:10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6">
        <f>VLOOKUP(J150,Лист2!$F:$I,2)</f>
        <v>125</v>
      </c>
      <c r="F150" s="6">
        <f>VLOOKUP(J150,Лист2!$F:$I,3)</f>
        <v>20914</v>
      </c>
      <c r="G150" s="6">
        <f>VLOOKUP(J150,Лист2!$F:$I,4)</f>
        <v>19479</v>
      </c>
      <c r="H150" s="6">
        <f t="shared" si="4"/>
        <v>319344.228</v>
      </c>
      <c r="I150" s="6">
        <f t="shared" si="5"/>
        <v>18</v>
      </c>
      <c r="J150" s="4" t="s">
        <v>176</v>
      </c>
    </row>
    <row r="151" spans="1:10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 s="9">
        <f>VLOOKUP(J151,Лист2!$F:$I,2)</f>
        <v>125</v>
      </c>
      <c r="F151" s="9">
        <f>VLOOKUP(J151,Лист2!$F:$I,3)</f>
        <v>19965</v>
      </c>
      <c r="G151" s="9">
        <f>VLOOKUP(J151,Лист2!$F:$I,4)</f>
        <v>18573</v>
      </c>
      <c r="H151" s="9">
        <f t="shared" si="4"/>
        <v>297576.924</v>
      </c>
      <c r="I151" s="9">
        <f t="shared" si="5"/>
        <v>20</v>
      </c>
      <c r="J151" s="4" t="s">
        <v>177</v>
      </c>
    </row>
    <row r="152" spans="1:10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6">
        <f>VLOOKUP(J152,Лист2!$F:$I,2)</f>
        <v>129</v>
      </c>
      <c r="F152" s="6">
        <f>VLOOKUP(J152,Лист2!$F:$I,3)</f>
        <v>17235</v>
      </c>
      <c r="G152" s="6">
        <f>VLOOKUP(J152,Лист2!$F:$I,4)</f>
        <v>16052</v>
      </c>
      <c r="H152" s="6">
        <f t="shared" si="4"/>
        <v>227347.02325581395</v>
      </c>
      <c r="I152" s="6">
        <f t="shared" si="5"/>
        <v>22</v>
      </c>
      <c r="J152" s="4" t="s">
        <v>178</v>
      </c>
    </row>
    <row r="153" spans="1:10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 s="9">
        <f>VLOOKUP(J153,Лист2!$F:$I,2)</f>
        <v>125</v>
      </c>
      <c r="F153" s="9">
        <f>VLOOKUP(J153,Лист2!$F:$I,3)</f>
        <v>18861</v>
      </c>
      <c r="G153" s="9">
        <f>VLOOKUP(J153,Лист2!$F:$I,4)</f>
        <v>17420</v>
      </c>
      <c r="H153" s="9">
        <f t="shared" si="4"/>
        <v>293055.99599999998</v>
      </c>
      <c r="I153" s="9">
        <f t="shared" si="5"/>
        <v>18</v>
      </c>
      <c r="J153" s="4" t="s">
        <v>179</v>
      </c>
    </row>
    <row r="154" spans="1:10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6">
        <f>VLOOKUP(J154,Лист2!$F:$I,2)</f>
        <v>129</v>
      </c>
      <c r="F154" s="6">
        <f>VLOOKUP(J154,Лист2!$F:$I,3)</f>
        <v>20243</v>
      </c>
      <c r="G154" s="6">
        <f>VLOOKUP(J154,Лист2!$F:$I,4)</f>
        <v>18711</v>
      </c>
      <c r="H154" s="6">
        <f t="shared" si="4"/>
        <v>276934.0581395349</v>
      </c>
      <c r="I154" s="6">
        <f t="shared" si="5"/>
        <v>22</v>
      </c>
      <c r="J154" s="4" t="s">
        <v>180</v>
      </c>
    </row>
    <row r="155" spans="1:10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 s="9">
        <f>VLOOKUP(J155,Лист2!$F:$I,2)</f>
        <v>125</v>
      </c>
      <c r="F155" s="9">
        <f>VLOOKUP(J155,Лист2!$F:$I,3)</f>
        <v>20218</v>
      </c>
      <c r="G155" s="9">
        <f>VLOOKUP(J155,Лист2!$F:$I,4)</f>
        <v>18647</v>
      </c>
      <c r="H155" s="9">
        <f t="shared" si="4"/>
        <v>304738.75199999998</v>
      </c>
      <c r="I155" s="9">
        <f t="shared" si="5"/>
        <v>19</v>
      </c>
      <c r="J155" s="4" t="s">
        <v>181</v>
      </c>
    </row>
    <row r="156" spans="1:10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6">
        <f>VLOOKUP(J156,Лист2!$F:$I,2)</f>
        <v>125</v>
      </c>
      <c r="F156" s="6">
        <f>VLOOKUP(J156,Лист2!$F:$I,3)</f>
        <v>24574</v>
      </c>
      <c r="G156" s="6">
        <f>VLOOKUP(J156,Лист2!$F:$I,4)</f>
        <v>22609</v>
      </c>
      <c r="H156" s="6">
        <f t="shared" si="4"/>
        <v>371264.64</v>
      </c>
      <c r="I156" s="6">
        <f t="shared" si="5"/>
        <v>21</v>
      </c>
      <c r="J156" s="4" t="s">
        <v>182</v>
      </c>
    </row>
    <row r="157" spans="1:10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 s="9">
        <f>VLOOKUP(J157,Лист2!$F:$I,2)</f>
        <v>129</v>
      </c>
      <c r="F157" s="9">
        <f>VLOOKUP(J157,Лист2!$F:$I,3)</f>
        <v>16453</v>
      </c>
      <c r="G157" s="9">
        <f>VLOOKUP(J157,Лист2!$F:$I,4)</f>
        <v>15289</v>
      </c>
      <c r="H157" s="9">
        <f t="shared" si="4"/>
        <v>218224.84302325582</v>
      </c>
      <c r="I157" s="9">
        <f t="shared" si="5"/>
        <v>22</v>
      </c>
      <c r="J157" s="4" t="s">
        <v>183</v>
      </c>
    </row>
    <row r="158" spans="1:10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6">
        <f>VLOOKUP(J158,Лист2!$F:$I,2)</f>
        <v>124</v>
      </c>
      <c r="F158" s="6">
        <f>VLOOKUP(J158,Лист2!$F:$I,3)</f>
        <v>20358</v>
      </c>
      <c r="G158" s="6">
        <f>VLOOKUP(J158,Лист2!$F:$I,4)</f>
        <v>18890</v>
      </c>
      <c r="H158" s="6">
        <f t="shared" si="4"/>
        <v>297447</v>
      </c>
      <c r="I158" s="6">
        <f t="shared" si="5"/>
        <v>22</v>
      </c>
      <c r="J158" s="4" t="s">
        <v>184</v>
      </c>
    </row>
    <row r="159" spans="1:10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 s="9">
        <f>VLOOKUP(J159,Лист2!$F:$I,2)</f>
        <v>125</v>
      </c>
      <c r="F159" s="9">
        <f>VLOOKUP(J159,Лист2!$F:$I,3)</f>
        <v>22368</v>
      </c>
      <c r="G159" s="9">
        <f>VLOOKUP(J159,Лист2!$F:$I,4)</f>
        <v>20625</v>
      </c>
      <c r="H159" s="9">
        <f t="shared" si="4"/>
        <v>344229.87599999999</v>
      </c>
      <c r="I159" s="9">
        <f t="shared" si="5"/>
        <v>18</v>
      </c>
      <c r="J159" s="4" t="s">
        <v>185</v>
      </c>
    </row>
    <row r="160" spans="1:10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6">
        <f>VLOOKUP(J160,Лист2!$F:$I,2)</f>
        <v>125</v>
      </c>
      <c r="F160" s="6">
        <f>VLOOKUP(J160,Лист2!$F:$I,3)</f>
        <v>20368</v>
      </c>
      <c r="G160" s="6">
        <f>VLOOKUP(J160,Лист2!$F:$I,4)</f>
        <v>18884</v>
      </c>
      <c r="H160" s="6">
        <f t="shared" si="4"/>
        <v>312087</v>
      </c>
      <c r="I160" s="6">
        <f t="shared" si="5"/>
        <v>19</v>
      </c>
      <c r="J160" s="4" t="s">
        <v>186</v>
      </c>
    </row>
    <row r="161" spans="1:10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 s="9">
        <f>VLOOKUP(J161,Лист2!$F:$I,2)</f>
        <v>125</v>
      </c>
      <c r="F161" s="9">
        <f>VLOOKUP(J161,Лист2!$F:$I,3)</f>
        <v>24620</v>
      </c>
      <c r="G161" s="9">
        <f>VLOOKUP(J161,Лист2!$F:$I,4)</f>
        <v>22641</v>
      </c>
      <c r="H161" s="9">
        <f t="shared" si="4"/>
        <v>392985.44400000002</v>
      </c>
      <c r="I161" s="9">
        <f t="shared" si="5"/>
        <v>19</v>
      </c>
      <c r="J161" s="4" t="s">
        <v>187</v>
      </c>
    </row>
    <row r="162" spans="1:10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6">
        <f>VLOOKUP(J162,Лист2!$F:$I,2)</f>
        <v>125</v>
      </c>
      <c r="F162" s="6">
        <f>VLOOKUP(J162,Лист2!$F:$I,3)</f>
        <v>18014</v>
      </c>
      <c r="G162" s="6">
        <f>VLOOKUP(J162,Лист2!$F:$I,4)</f>
        <v>16675</v>
      </c>
      <c r="H162" s="6">
        <f t="shared" si="4"/>
        <v>270111.91200000001</v>
      </c>
      <c r="I162" s="6">
        <f t="shared" si="5"/>
        <v>19</v>
      </c>
      <c r="J162" s="4" t="s">
        <v>188</v>
      </c>
    </row>
    <row r="163" spans="1:10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 s="9">
        <f>VLOOKUP(J163,Лист2!$F:$I,2)</f>
        <v>125</v>
      </c>
      <c r="F163" s="9">
        <f>VLOOKUP(J163,Лист2!$F:$I,3)</f>
        <v>21004</v>
      </c>
      <c r="G163" s="9">
        <f>VLOOKUP(J163,Лист2!$F:$I,4)</f>
        <v>19556</v>
      </c>
      <c r="H163" s="9">
        <f t="shared" si="4"/>
        <v>305531.05200000003</v>
      </c>
      <c r="I163" s="9">
        <f t="shared" si="5"/>
        <v>21</v>
      </c>
      <c r="J163" s="4" t="s">
        <v>189</v>
      </c>
    </row>
    <row r="164" spans="1:10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6">
        <f>VLOOKUP(J164,Лист2!$F:$I,2)</f>
        <v>36</v>
      </c>
      <c r="F164" s="6">
        <f>VLOOKUP(J164,Лист2!$F:$I,3)</f>
        <v>5286</v>
      </c>
      <c r="G164" s="6">
        <f>VLOOKUP(J164,Лист2!$F:$I,4)</f>
        <v>4867</v>
      </c>
      <c r="H164" s="6">
        <f t="shared" si="4"/>
        <v>184782.75</v>
      </c>
      <c r="I164" s="6">
        <f t="shared" si="5"/>
        <v>20</v>
      </c>
      <c r="J164" s="4" t="s">
        <v>190</v>
      </c>
    </row>
    <row r="165" spans="1:10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 s="9">
        <f>VLOOKUP(J165,Лист2!$F:$I,2)</f>
        <v>36</v>
      </c>
      <c r="F165" s="9">
        <f>VLOOKUP(J165,Лист2!$F:$I,3)</f>
        <v>5094</v>
      </c>
      <c r="G165" s="9">
        <f>VLOOKUP(J165,Лист2!$F:$I,4)</f>
        <v>4716</v>
      </c>
      <c r="H165" s="9">
        <f t="shared" si="4"/>
        <v>171485.08333333334</v>
      </c>
      <c r="I165" s="9">
        <f t="shared" si="5"/>
        <v>21</v>
      </c>
      <c r="J165" s="4" t="s">
        <v>191</v>
      </c>
    </row>
    <row r="166" spans="1:10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6">
        <f>VLOOKUP(J166,Лист2!$F:$I,2)</f>
        <v>36</v>
      </c>
      <c r="F166" s="6">
        <f>VLOOKUP(J166,Лист2!$F:$I,3)</f>
        <v>4918</v>
      </c>
      <c r="G166" s="6">
        <f>VLOOKUP(J166,Лист2!$F:$I,4)</f>
        <v>4554</v>
      </c>
      <c r="H166" s="6">
        <f t="shared" si="4"/>
        <v>165355.625</v>
      </c>
      <c r="I166" s="6">
        <f t="shared" si="5"/>
        <v>20</v>
      </c>
      <c r="J166" s="4" t="s">
        <v>192</v>
      </c>
    </row>
    <row r="167" spans="1:10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 s="9">
        <f>VLOOKUP(J167,Лист2!$F:$I,2)</f>
        <v>36</v>
      </c>
      <c r="F167" s="9">
        <f>VLOOKUP(J167,Лист2!$F:$I,3)</f>
        <v>5413</v>
      </c>
      <c r="G167" s="9">
        <f>VLOOKUP(J167,Лист2!$F:$I,4)</f>
        <v>4959</v>
      </c>
      <c r="H167" s="9">
        <f t="shared" si="4"/>
        <v>201484.08333333334</v>
      </c>
      <c r="I167" s="9">
        <f t="shared" si="5"/>
        <v>19</v>
      </c>
      <c r="J167" s="4" t="s">
        <v>193</v>
      </c>
    </row>
    <row r="168" spans="1:10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6">
        <f>VLOOKUP(J168,Лист2!$F:$I,2)</f>
        <v>36</v>
      </c>
      <c r="F168" s="6">
        <f>VLOOKUP(J168,Лист2!$F:$I,3)</f>
        <v>4508</v>
      </c>
      <c r="G168" s="6">
        <f>VLOOKUP(J168,Лист2!$F:$I,4)</f>
        <v>4149</v>
      </c>
      <c r="H168" s="6">
        <f t="shared" si="4"/>
        <v>154484.79166666666</v>
      </c>
      <c r="I168" s="6">
        <f t="shared" si="5"/>
        <v>19</v>
      </c>
      <c r="J168" s="4" t="s">
        <v>194</v>
      </c>
    </row>
    <row r="169" spans="1:10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 s="9">
        <f>VLOOKUP(J169,Лист2!$F:$I,2)</f>
        <v>36</v>
      </c>
      <c r="F169" s="9">
        <f>VLOOKUP(J169,Лист2!$F:$I,3)</f>
        <v>4937</v>
      </c>
      <c r="G169" s="9">
        <f>VLOOKUP(J169,Лист2!$F:$I,4)</f>
        <v>4561</v>
      </c>
      <c r="H169" s="9">
        <f t="shared" si="4"/>
        <v>179290.5</v>
      </c>
      <c r="I169" s="9">
        <f t="shared" si="5"/>
        <v>18</v>
      </c>
      <c r="J169" s="4" t="s">
        <v>195</v>
      </c>
    </row>
    <row r="170" spans="1:10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6">
        <f>VLOOKUP(J170,Лист2!$F:$I,2)</f>
        <v>36</v>
      </c>
      <c r="F170" s="6">
        <f>VLOOKUP(J170,Лист2!$F:$I,3)</f>
        <v>3442</v>
      </c>
      <c r="G170" s="6">
        <f>VLOOKUP(J170,Лист2!$F:$I,4)</f>
        <v>3147</v>
      </c>
      <c r="H170" s="6">
        <f t="shared" si="4"/>
        <v>114395.875</v>
      </c>
      <c r="I170" s="6">
        <f t="shared" si="5"/>
        <v>18</v>
      </c>
      <c r="J170" s="4" t="s">
        <v>196</v>
      </c>
    </row>
    <row r="171" spans="1:10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 s="9">
        <f>VLOOKUP(J171,Лист2!$F:$I,2)</f>
        <v>36</v>
      </c>
      <c r="F171" s="9">
        <f>VLOOKUP(J171,Лист2!$F:$I,3)</f>
        <v>4770</v>
      </c>
      <c r="G171" s="9">
        <f>VLOOKUP(J171,Лист2!$F:$I,4)</f>
        <v>4424</v>
      </c>
      <c r="H171" s="9">
        <f t="shared" si="4"/>
        <v>162916.375</v>
      </c>
      <c r="I171" s="9">
        <f t="shared" si="5"/>
        <v>22</v>
      </c>
      <c r="J171" s="4" t="s">
        <v>197</v>
      </c>
    </row>
    <row r="172" spans="1:10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6">
        <f>VLOOKUP(J172,Лист2!$F:$I,2)</f>
        <v>36</v>
      </c>
      <c r="F172" s="6">
        <f>VLOOKUP(J172,Лист2!$F:$I,3)</f>
        <v>5457</v>
      </c>
      <c r="G172" s="6">
        <f>VLOOKUP(J172,Лист2!$F:$I,4)</f>
        <v>4916</v>
      </c>
      <c r="H172" s="6">
        <f t="shared" si="4"/>
        <v>195339.58333333334</v>
      </c>
      <c r="I172" s="6">
        <f t="shared" si="5"/>
        <v>18</v>
      </c>
      <c r="J172" s="4" t="s">
        <v>198</v>
      </c>
    </row>
    <row r="173" spans="1:10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 s="9">
        <f>VLOOKUP(J173,Лист2!$F:$I,2)</f>
        <v>36</v>
      </c>
      <c r="F173" s="9">
        <f>VLOOKUP(J173,Лист2!$F:$I,3)</f>
        <v>4418</v>
      </c>
      <c r="G173" s="9">
        <f>VLOOKUP(J173,Лист2!$F:$I,4)</f>
        <v>4088</v>
      </c>
      <c r="H173" s="9">
        <f t="shared" si="4"/>
        <v>153420.70833333334</v>
      </c>
      <c r="I173" s="9">
        <f t="shared" si="5"/>
        <v>20</v>
      </c>
      <c r="J173" s="4" t="s">
        <v>199</v>
      </c>
    </row>
    <row r="174" spans="1:10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6">
        <f>VLOOKUP(J174,Лист2!$F:$I,2)</f>
        <v>36</v>
      </c>
      <c r="F174" s="6">
        <f>VLOOKUP(J174,Лист2!$F:$I,3)</f>
        <v>4816</v>
      </c>
      <c r="G174" s="6">
        <f>VLOOKUP(J174,Лист2!$F:$I,4)</f>
        <v>4452</v>
      </c>
      <c r="H174" s="6">
        <f t="shared" si="4"/>
        <v>162891.25</v>
      </c>
      <c r="I174" s="6">
        <f t="shared" si="5"/>
        <v>21</v>
      </c>
      <c r="J174" s="4" t="s">
        <v>200</v>
      </c>
    </row>
    <row r="175" spans="1:10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 s="9">
        <f>VLOOKUP(J175,Лист2!$F:$I,2)</f>
        <v>36</v>
      </c>
      <c r="F175" s="9">
        <f>VLOOKUP(J175,Лист2!$F:$I,3)</f>
        <v>5914</v>
      </c>
      <c r="G175" s="9">
        <f>VLOOKUP(J175,Лист2!$F:$I,4)</f>
        <v>5384</v>
      </c>
      <c r="H175" s="9">
        <f t="shared" si="4"/>
        <v>197831.83333333334</v>
      </c>
      <c r="I175" s="9">
        <f t="shared" si="5"/>
        <v>21</v>
      </c>
      <c r="J175" s="4" t="s">
        <v>201</v>
      </c>
    </row>
    <row r="176" spans="1:10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6">
        <f>VLOOKUP(J176,Лист2!$F:$I,2)</f>
        <v>36</v>
      </c>
      <c r="F176" s="6">
        <f>VLOOKUP(J176,Лист2!$F:$I,3)</f>
        <v>4575</v>
      </c>
      <c r="G176" s="6">
        <f>VLOOKUP(J176,Лист2!$F:$I,4)</f>
        <v>4206</v>
      </c>
      <c r="H176" s="6">
        <f t="shared" si="4"/>
        <v>160292.75</v>
      </c>
      <c r="I176" s="6">
        <f t="shared" si="5"/>
        <v>19</v>
      </c>
      <c r="J176" s="4" t="s">
        <v>202</v>
      </c>
    </row>
    <row r="177" spans="1:10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 s="9">
        <f>VLOOKUP(J177,Лист2!$F:$I,2)</f>
        <v>36</v>
      </c>
      <c r="F177" s="9">
        <f>VLOOKUP(J177,Лист2!$F:$I,3)</f>
        <v>4923</v>
      </c>
      <c r="G177" s="9">
        <f>VLOOKUP(J177,Лист2!$F:$I,4)</f>
        <v>4560</v>
      </c>
      <c r="H177" s="9">
        <f t="shared" si="4"/>
        <v>174673.5</v>
      </c>
      <c r="I177" s="9">
        <f t="shared" si="5"/>
        <v>18</v>
      </c>
      <c r="J177" s="4" t="s">
        <v>203</v>
      </c>
    </row>
    <row r="178" spans="1:10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6">
        <f>VLOOKUP(J178,Лист2!$F:$I,2)</f>
        <v>36</v>
      </c>
      <c r="F178" s="6">
        <f>VLOOKUP(J178,Лист2!$F:$I,3)</f>
        <v>4967</v>
      </c>
      <c r="G178" s="6">
        <f>VLOOKUP(J178,Лист2!$F:$I,4)</f>
        <v>4583</v>
      </c>
      <c r="H178" s="6">
        <f t="shared" si="4"/>
        <v>175939.66666666666</v>
      </c>
      <c r="I178" s="6">
        <f t="shared" si="5"/>
        <v>20</v>
      </c>
      <c r="J178" s="4" t="s">
        <v>204</v>
      </c>
    </row>
    <row r="179" spans="1:10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 s="9">
        <f>VLOOKUP(J179,Лист2!$F:$I,2)</f>
        <v>124</v>
      </c>
      <c r="F179" s="9">
        <f>VLOOKUP(J179,Лист2!$F:$I,3)</f>
        <v>21392</v>
      </c>
      <c r="G179" s="9">
        <f>VLOOKUP(J179,Лист2!$F:$I,4)</f>
        <v>19869</v>
      </c>
      <c r="H179" s="9">
        <f t="shared" si="4"/>
        <v>317582.08064516127</v>
      </c>
      <c r="I179" s="9">
        <f t="shared" si="5"/>
        <v>22</v>
      </c>
      <c r="J179" s="4" t="s">
        <v>205</v>
      </c>
    </row>
    <row r="180" spans="1:10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6">
        <f>VLOOKUP(J180,Лист2!$F:$I,2)</f>
        <v>36</v>
      </c>
      <c r="F180" s="6">
        <f>VLOOKUP(J180,Лист2!$F:$I,3)</f>
        <v>4751</v>
      </c>
      <c r="G180" s="6">
        <f>VLOOKUP(J180,Лист2!$F:$I,4)</f>
        <v>4370</v>
      </c>
      <c r="H180" s="6">
        <f t="shared" si="4"/>
        <v>172814.45833333334</v>
      </c>
      <c r="I180" s="6">
        <f t="shared" si="5"/>
        <v>18</v>
      </c>
      <c r="J180" s="4" t="s">
        <v>206</v>
      </c>
    </row>
    <row r="181" spans="1:10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 s="9">
        <f>VLOOKUP(J181,Лист2!$F:$I,2)</f>
        <v>124</v>
      </c>
      <c r="F181" s="9">
        <f>VLOOKUP(J181,Лист2!$F:$I,3)</f>
        <v>24325</v>
      </c>
      <c r="G181" s="9">
        <f>VLOOKUP(J181,Лист2!$F:$I,4)</f>
        <v>22469</v>
      </c>
      <c r="H181" s="9">
        <f t="shared" si="4"/>
        <v>373958.90322580643</v>
      </c>
      <c r="I181" s="9">
        <f t="shared" si="5"/>
        <v>22</v>
      </c>
      <c r="J181" s="4" t="s">
        <v>207</v>
      </c>
    </row>
    <row r="182" spans="1:10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6">
        <f>VLOOKUP(J182,Лист2!$F:$I,2)</f>
        <v>36</v>
      </c>
      <c r="F182" s="6">
        <f>VLOOKUP(J182,Лист2!$F:$I,3)</f>
        <v>4384</v>
      </c>
      <c r="G182" s="6">
        <f>VLOOKUP(J182,Лист2!$F:$I,4)</f>
        <v>4025</v>
      </c>
      <c r="H182" s="6">
        <f t="shared" si="4"/>
        <v>151503.375</v>
      </c>
      <c r="I182" s="6">
        <f t="shared" si="5"/>
        <v>19</v>
      </c>
      <c r="J182" s="4" t="s">
        <v>208</v>
      </c>
    </row>
    <row r="183" spans="1:10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 s="9">
        <f>VLOOKUP(J183,Лист2!$F:$I,2)</f>
        <v>36</v>
      </c>
      <c r="F183" s="9">
        <f>VLOOKUP(J183,Лист2!$F:$I,3)</f>
        <v>5651</v>
      </c>
      <c r="G183" s="9">
        <f>VLOOKUP(J183,Лист2!$F:$I,4)</f>
        <v>5212</v>
      </c>
      <c r="H183" s="9">
        <f t="shared" si="4"/>
        <v>199253.25</v>
      </c>
      <c r="I183" s="9">
        <f t="shared" si="5"/>
        <v>21</v>
      </c>
      <c r="J183" s="4" t="s">
        <v>209</v>
      </c>
    </row>
    <row r="184" spans="1:10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6">
        <f>VLOOKUP(J184,Лист2!$F:$I,2)</f>
        <v>124</v>
      </c>
      <c r="F184" s="6">
        <f>VLOOKUP(J184,Лист2!$F:$I,3)</f>
        <v>20868</v>
      </c>
      <c r="G184" s="6">
        <f>VLOOKUP(J184,Лист2!$F:$I,4)</f>
        <v>19342</v>
      </c>
      <c r="H184" s="6">
        <f t="shared" si="4"/>
        <v>306029.74596774194</v>
      </c>
      <c r="I184" s="6">
        <f t="shared" si="5"/>
        <v>22</v>
      </c>
      <c r="J184" s="4" t="s">
        <v>210</v>
      </c>
    </row>
    <row r="185" spans="1:10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 s="9">
        <f>VLOOKUP(J185,Лист2!$F:$I,2)</f>
        <v>36</v>
      </c>
      <c r="F185" s="9">
        <f>VLOOKUP(J185,Лист2!$F:$I,3)</f>
        <v>4641</v>
      </c>
      <c r="G185" s="9">
        <f>VLOOKUP(J185,Лист2!$F:$I,4)</f>
        <v>4274</v>
      </c>
      <c r="H185" s="9">
        <f t="shared" si="4"/>
        <v>158462.5</v>
      </c>
      <c r="I185" s="9">
        <f t="shared" si="5"/>
        <v>22</v>
      </c>
      <c r="J185" s="4" t="s">
        <v>211</v>
      </c>
    </row>
    <row r="186" spans="1:10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6">
        <f>VLOOKUP(J186,Лист2!$F:$I,2)</f>
        <v>36</v>
      </c>
      <c r="F186" s="6">
        <f>VLOOKUP(J186,Лист2!$F:$I,3)</f>
        <v>5143</v>
      </c>
      <c r="G186" s="6">
        <f>VLOOKUP(J186,Лист2!$F:$I,4)</f>
        <v>4715</v>
      </c>
      <c r="H186" s="6">
        <f t="shared" si="4"/>
        <v>189433.16666666666</v>
      </c>
      <c r="I186" s="6">
        <f t="shared" si="5"/>
        <v>18</v>
      </c>
      <c r="J186" s="4" t="s">
        <v>212</v>
      </c>
    </row>
    <row r="187" spans="1:10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 s="9">
        <f>VLOOKUP(J187,Лист2!$F:$I,2)</f>
        <v>36</v>
      </c>
      <c r="F187" s="9">
        <f>VLOOKUP(J187,Лист2!$F:$I,3)</f>
        <v>5746</v>
      </c>
      <c r="G187" s="9">
        <f>VLOOKUP(J187,Лист2!$F:$I,4)</f>
        <v>5277</v>
      </c>
      <c r="H187" s="9">
        <f t="shared" si="4"/>
        <v>214613.04166666666</v>
      </c>
      <c r="I187" s="9">
        <f t="shared" si="5"/>
        <v>19</v>
      </c>
      <c r="J187" s="4" t="s">
        <v>213</v>
      </c>
    </row>
    <row r="188" spans="1:10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6">
        <f>VLOOKUP(J188,Лист2!$F:$I,2)</f>
        <v>36</v>
      </c>
      <c r="F188" s="6">
        <f>VLOOKUP(J188,Лист2!$F:$I,3)</f>
        <v>4199</v>
      </c>
      <c r="G188" s="6">
        <f>VLOOKUP(J188,Лист2!$F:$I,4)</f>
        <v>3867</v>
      </c>
      <c r="H188" s="6">
        <f t="shared" si="4"/>
        <v>149047.45833333334</v>
      </c>
      <c r="I188" s="6">
        <f t="shared" si="5"/>
        <v>19</v>
      </c>
      <c r="J188" s="4" t="s">
        <v>214</v>
      </c>
    </row>
    <row r="189" spans="1:10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 s="9">
        <f>VLOOKUP(J189,Лист2!$F:$I,2)</f>
        <v>36</v>
      </c>
      <c r="F189" s="9">
        <f>VLOOKUP(J189,Лист2!$F:$I,3)</f>
        <v>4826</v>
      </c>
      <c r="G189" s="9">
        <f>VLOOKUP(J189,Лист2!$F:$I,4)</f>
        <v>4426</v>
      </c>
      <c r="H189" s="9">
        <f t="shared" si="4"/>
        <v>171551.04166666666</v>
      </c>
      <c r="I189" s="9">
        <f t="shared" si="5"/>
        <v>19</v>
      </c>
      <c r="J189" s="4" t="s">
        <v>215</v>
      </c>
    </row>
    <row r="190" spans="1:10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6">
        <f>VLOOKUP(J190,Лист2!$F:$I,2)</f>
        <v>36</v>
      </c>
      <c r="F190" s="6">
        <f>VLOOKUP(J190,Лист2!$F:$I,3)</f>
        <v>4915</v>
      </c>
      <c r="G190" s="6">
        <f>VLOOKUP(J190,Лист2!$F:$I,4)</f>
        <v>4562</v>
      </c>
      <c r="H190" s="6">
        <f t="shared" si="4"/>
        <v>169395.45833333334</v>
      </c>
      <c r="I190" s="6">
        <f t="shared" si="5"/>
        <v>21</v>
      </c>
      <c r="J190" s="4" t="s">
        <v>216</v>
      </c>
    </row>
    <row r="191" spans="1:10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 s="9">
        <f>VLOOKUP(J191,Лист2!$F:$I,2)</f>
        <v>21</v>
      </c>
      <c r="F191" s="9">
        <f>VLOOKUP(J191,Лист2!$F:$I,3)</f>
        <v>2427</v>
      </c>
      <c r="G191" s="9">
        <f>VLOOKUP(J191,Лист2!$F:$I,4)</f>
        <v>2213</v>
      </c>
      <c r="H191" s="9">
        <f t="shared" si="4"/>
        <v>191673.71428571429</v>
      </c>
      <c r="I191" s="9">
        <f t="shared" si="5"/>
        <v>20</v>
      </c>
      <c r="J191" s="4" t="s">
        <v>217</v>
      </c>
    </row>
    <row r="192" spans="1:10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6">
        <f>VLOOKUP(J192,Лист2!$F:$I,2)</f>
        <v>21</v>
      </c>
      <c r="F192" s="6">
        <f>VLOOKUP(J192,Лист2!$F:$I,3)</f>
        <v>2245</v>
      </c>
      <c r="G192" s="6">
        <f>VLOOKUP(J192,Лист2!$F:$I,4)</f>
        <v>2053</v>
      </c>
      <c r="H192" s="6">
        <f t="shared" si="4"/>
        <v>169187.5</v>
      </c>
      <c r="I192" s="6">
        <f t="shared" si="5"/>
        <v>21</v>
      </c>
      <c r="J192" s="4" t="s">
        <v>218</v>
      </c>
    </row>
    <row r="193" spans="1:10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 s="9">
        <f>VLOOKUP(J193,Лист2!$F:$I,2)</f>
        <v>21</v>
      </c>
      <c r="F193" s="9">
        <f>VLOOKUP(J193,Лист2!$F:$I,3)</f>
        <v>2054</v>
      </c>
      <c r="G193" s="9">
        <f>VLOOKUP(J193,Лист2!$F:$I,4)</f>
        <v>1883</v>
      </c>
      <c r="H193" s="9">
        <f t="shared" si="4"/>
        <v>151959.78571428571</v>
      </c>
      <c r="I193" s="9">
        <f t="shared" si="5"/>
        <v>20</v>
      </c>
      <c r="J193" s="4" t="s">
        <v>219</v>
      </c>
    </row>
    <row r="194" spans="1:10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6">
        <f>VLOOKUP(J194,Лист2!$F:$I,2)</f>
        <v>21</v>
      </c>
      <c r="F194" s="6">
        <f>VLOOKUP(J194,Лист2!$F:$I,3)</f>
        <v>1891</v>
      </c>
      <c r="G194" s="6">
        <f>VLOOKUP(J194,Лист2!$F:$I,4)</f>
        <v>1709</v>
      </c>
      <c r="H194" s="6">
        <f t="shared" si="4"/>
        <v>146899.64285714287</v>
      </c>
      <c r="I194" s="6">
        <f t="shared" si="5"/>
        <v>19</v>
      </c>
      <c r="J194" s="4" t="s">
        <v>220</v>
      </c>
    </row>
    <row r="195" spans="1:10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 s="9">
        <f>VLOOKUP(J195,Лист2!$F:$I,2)</f>
        <v>20</v>
      </c>
      <c r="F195" s="9">
        <f>VLOOKUP(J195,Лист2!$F:$I,3)</f>
        <v>1804</v>
      </c>
      <c r="G195" s="9">
        <f>VLOOKUP(J195,Лист2!$F:$I,4)</f>
        <v>1638</v>
      </c>
      <c r="H195" s="9">
        <f t="shared" ref="H195:H258" si="6">D195/E195</f>
        <v>140892.67499999999</v>
      </c>
      <c r="I195" s="9">
        <f t="shared" ref="I195:I258" si="7">WEEKNUM(A195,2)</f>
        <v>19</v>
      </c>
      <c r="J195" s="4" t="s">
        <v>221</v>
      </c>
    </row>
    <row r="196" spans="1:10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6">
        <f>VLOOKUP(J196,Лист2!$F:$I,2)</f>
        <v>19</v>
      </c>
      <c r="F196" s="6">
        <f>VLOOKUP(J196,Лист2!$F:$I,3)</f>
        <v>1676</v>
      </c>
      <c r="G196" s="6">
        <f>VLOOKUP(J196,Лист2!$F:$I,4)</f>
        <v>1516</v>
      </c>
      <c r="H196" s="6">
        <f t="shared" si="6"/>
        <v>138294.47368421053</v>
      </c>
      <c r="I196" s="6">
        <f t="shared" si="7"/>
        <v>18</v>
      </c>
      <c r="J196" s="4" t="s">
        <v>222</v>
      </c>
    </row>
    <row r="197" spans="1:10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 s="9">
        <f>VLOOKUP(J197,Лист2!$F:$I,2)</f>
        <v>20</v>
      </c>
      <c r="F197" s="9">
        <f>VLOOKUP(J197,Лист2!$F:$I,3)</f>
        <v>1613</v>
      </c>
      <c r="G197" s="9">
        <f>VLOOKUP(J197,Лист2!$F:$I,4)</f>
        <v>1457</v>
      </c>
      <c r="H197" s="9">
        <f t="shared" si="6"/>
        <v>123523.27499999999</v>
      </c>
      <c r="I197" s="9">
        <f t="shared" si="7"/>
        <v>18</v>
      </c>
      <c r="J197" s="4" t="s">
        <v>223</v>
      </c>
    </row>
    <row r="198" spans="1:10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6">
        <f>VLOOKUP(J198,Лист2!$F:$I,2)</f>
        <v>21</v>
      </c>
      <c r="F198" s="6">
        <f>VLOOKUP(J198,Лист2!$F:$I,3)</f>
        <v>2418</v>
      </c>
      <c r="G198" s="6">
        <f>VLOOKUP(J198,Лист2!$F:$I,4)</f>
        <v>2215</v>
      </c>
      <c r="H198" s="6">
        <f t="shared" si="6"/>
        <v>176205.28571428571</v>
      </c>
      <c r="I198" s="6">
        <f t="shared" si="7"/>
        <v>22</v>
      </c>
      <c r="J198" s="4" t="s">
        <v>224</v>
      </c>
    </row>
    <row r="199" spans="1:10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 s="9">
        <f>VLOOKUP(J199,Лист2!$F:$I,2)</f>
        <v>20</v>
      </c>
      <c r="F199" s="9">
        <f>VLOOKUP(J199,Лист2!$F:$I,3)</f>
        <v>2468</v>
      </c>
      <c r="G199" s="9">
        <f>VLOOKUP(J199,Лист2!$F:$I,4)</f>
        <v>2221</v>
      </c>
      <c r="H199" s="9">
        <f t="shared" si="6"/>
        <v>214662.07500000001</v>
      </c>
      <c r="I199" s="9">
        <f t="shared" si="7"/>
        <v>18</v>
      </c>
      <c r="J199" s="4" t="s">
        <v>225</v>
      </c>
    </row>
    <row r="200" spans="1:10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6">
        <f>VLOOKUP(J200,Лист2!$F:$I,2)</f>
        <v>21</v>
      </c>
      <c r="F200" s="6">
        <f>VLOOKUP(J200,Лист2!$F:$I,3)</f>
        <v>1926</v>
      </c>
      <c r="G200" s="6">
        <f>VLOOKUP(J200,Лист2!$F:$I,4)</f>
        <v>1745</v>
      </c>
      <c r="H200" s="6">
        <f t="shared" si="6"/>
        <v>146695.92857142858</v>
      </c>
      <c r="I200" s="6">
        <f t="shared" si="7"/>
        <v>20</v>
      </c>
      <c r="J200" s="4" t="s">
        <v>226</v>
      </c>
    </row>
    <row r="201" spans="1:10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 s="9">
        <f>VLOOKUP(J201,Лист2!$F:$I,2)</f>
        <v>21</v>
      </c>
      <c r="F201" s="9">
        <f>VLOOKUP(J201,Лист2!$F:$I,3)</f>
        <v>2335</v>
      </c>
      <c r="G201" s="9">
        <f>VLOOKUP(J201,Лист2!$F:$I,4)</f>
        <v>2126</v>
      </c>
      <c r="H201" s="9">
        <f t="shared" si="6"/>
        <v>181447.35714285713</v>
      </c>
      <c r="I201" s="9">
        <f t="shared" si="7"/>
        <v>21</v>
      </c>
      <c r="J201" s="4" t="s">
        <v>227</v>
      </c>
    </row>
    <row r="202" spans="1:10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6">
        <f>VLOOKUP(J202,Лист2!$F:$I,2)</f>
        <v>21</v>
      </c>
      <c r="F202" s="6">
        <f>VLOOKUP(J202,Лист2!$F:$I,3)</f>
        <v>2410</v>
      </c>
      <c r="G202" s="6">
        <f>VLOOKUP(J202,Лист2!$F:$I,4)</f>
        <v>2202</v>
      </c>
      <c r="H202" s="6">
        <f t="shared" si="6"/>
        <v>186618.42857142858</v>
      </c>
      <c r="I202" s="6">
        <f t="shared" si="7"/>
        <v>21</v>
      </c>
      <c r="J202" s="4" t="s">
        <v>228</v>
      </c>
    </row>
    <row r="203" spans="1:10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 s="9">
        <f>VLOOKUP(J203,Лист2!$F:$I,2)</f>
        <v>20</v>
      </c>
      <c r="F203" s="9">
        <f>VLOOKUP(J203,Лист2!$F:$I,3)</f>
        <v>1757</v>
      </c>
      <c r="G203" s="9">
        <f>VLOOKUP(J203,Лист2!$F:$I,4)</f>
        <v>1596</v>
      </c>
      <c r="H203" s="9">
        <f t="shared" si="6"/>
        <v>132434.4</v>
      </c>
      <c r="I203" s="9">
        <f t="shared" si="7"/>
        <v>19</v>
      </c>
      <c r="J203" s="4" t="s">
        <v>229</v>
      </c>
    </row>
    <row r="204" spans="1:10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6">
        <f>VLOOKUP(J204,Лист2!$F:$I,2)</f>
        <v>19</v>
      </c>
      <c r="F204" s="6">
        <f>VLOOKUP(J204,Лист2!$F:$I,3)</f>
        <v>1846</v>
      </c>
      <c r="G204" s="6">
        <f>VLOOKUP(J204,Лист2!$F:$I,4)</f>
        <v>1681</v>
      </c>
      <c r="H204" s="6">
        <f t="shared" si="6"/>
        <v>150715.81578947368</v>
      </c>
      <c r="I204" s="6">
        <f t="shared" si="7"/>
        <v>18</v>
      </c>
      <c r="J204" s="4" t="s">
        <v>230</v>
      </c>
    </row>
    <row r="205" spans="1:10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 s="9">
        <f>VLOOKUP(J205,Лист2!$F:$I,2)</f>
        <v>21</v>
      </c>
      <c r="F205" s="9">
        <f>VLOOKUP(J205,Лист2!$F:$I,3)</f>
        <v>2061</v>
      </c>
      <c r="G205" s="9">
        <f>VLOOKUP(J205,Лист2!$F:$I,4)</f>
        <v>1876</v>
      </c>
      <c r="H205" s="9">
        <f t="shared" si="6"/>
        <v>156574.71428571429</v>
      </c>
      <c r="I205" s="9">
        <f t="shared" si="7"/>
        <v>20</v>
      </c>
      <c r="J205" s="4" t="s">
        <v>231</v>
      </c>
    </row>
    <row r="206" spans="1:10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6">
        <f>VLOOKUP(J206,Лист2!$F:$I,2)</f>
        <v>37</v>
      </c>
      <c r="F206" s="6">
        <f>VLOOKUP(J206,Лист2!$F:$I,3)</f>
        <v>5215</v>
      </c>
      <c r="G206" s="6">
        <f>VLOOKUP(J206,Лист2!$F:$I,4)</f>
        <v>4848</v>
      </c>
      <c r="H206" s="6">
        <f t="shared" si="6"/>
        <v>175698.60810810811</v>
      </c>
      <c r="I206" s="6">
        <f t="shared" si="7"/>
        <v>22</v>
      </c>
      <c r="J206" s="4" t="s">
        <v>232</v>
      </c>
    </row>
    <row r="207" spans="1:10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 s="9">
        <f>VLOOKUP(J207,Лист2!$F:$I,2)</f>
        <v>20</v>
      </c>
      <c r="F207" s="9">
        <f>VLOOKUP(J207,Лист2!$F:$I,3)</f>
        <v>1716</v>
      </c>
      <c r="G207" s="9">
        <f>VLOOKUP(J207,Лист2!$F:$I,4)</f>
        <v>1561</v>
      </c>
      <c r="H207" s="9">
        <f t="shared" si="6"/>
        <v>136000.125</v>
      </c>
      <c r="I207" s="9">
        <f t="shared" si="7"/>
        <v>18</v>
      </c>
      <c r="J207" s="4" t="s">
        <v>233</v>
      </c>
    </row>
    <row r="208" spans="1:10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6">
        <f>VLOOKUP(J208,Лист2!$F:$I,2)</f>
        <v>37</v>
      </c>
      <c r="F208" s="6">
        <f>VLOOKUP(J208,Лист2!$F:$I,3)</f>
        <v>6645</v>
      </c>
      <c r="G208" s="6">
        <f>VLOOKUP(J208,Лист2!$F:$I,4)</f>
        <v>6122</v>
      </c>
      <c r="H208" s="6">
        <f t="shared" si="6"/>
        <v>245902.33783783784</v>
      </c>
      <c r="I208" s="6">
        <f t="shared" si="7"/>
        <v>22</v>
      </c>
      <c r="J208" s="4" t="s">
        <v>234</v>
      </c>
    </row>
    <row r="209" spans="1:10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 s="9">
        <f>VLOOKUP(J209,Лист2!$F:$I,2)</f>
        <v>20</v>
      </c>
      <c r="F209" s="9">
        <f>VLOOKUP(J209,Лист2!$F:$I,3)</f>
        <v>1747</v>
      </c>
      <c r="G209" s="9">
        <f>VLOOKUP(J209,Лист2!$F:$I,4)</f>
        <v>1570</v>
      </c>
      <c r="H209" s="9">
        <f t="shared" si="6"/>
        <v>136906.35</v>
      </c>
      <c r="I209" s="9">
        <f t="shared" si="7"/>
        <v>19</v>
      </c>
      <c r="J209" s="4" t="s">
        <v>235</v>
      </c>
    </row>
    <row r="210" spans="1:10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6">
        <f>VLOOKUP(J210,Лист2!$F:$I,2)</f>
        <v>21</v>
      </c>
      <c r="F210" s="6">
        <f>VLOOKUP(J210,Лист2!$F:$I,3)</f>
        <v>2460</v>
      </c>
      <c r="G210" s="6">
        <f>VLOOKUP(J210,Лист2!$F:$I,4)</f>
        <v>2226</v>
      </c>
      <c r="H210" s="6">
        <f t="shared" si="6"/>
        <v>184915</v>
      </c>
      <c r="I210" s="6">
        <f t="shared" si="7"/>
        <v>21</v>
      </c>
      <c r="J210" s="4" t="s">
        <v>236</v>
      </c>
    </row>
    <row r="211" spans="1:10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 s="9">
        <f>VLOOKUP(J211,Лист2!$F:$I,2)</f>
        <v>37</v>
      </c>
      <c r="F211" s="9">
        <f>VLOOKUP(J211,Лист2!$F:$I,3)</f>
        <v>4840</v>
      </c>
      <c r="G211" s="9">
        <f>VLOOKUP(J211,Лист2!$F:$I,4)</f>
        <v>4475</v>
      </c>
      <c r="H211" s="9">
        <f t="shared" si="6"/>
        <v>164917.05405405405</v>
      </c>
      <c r="I211" s="9">
        <f t="shared" si="7"/>
        <v>22</v>
      </c>
      <c r="J211" s="4" t="s">
        <v>237</v>
      </c>
    </row>
    <row r="212" spans="1:10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6">
        <f>VLOOKUP(J212,Лист2!$F:$I,2)</f>
        <v>21</v>
      </c>
      <c r="F212" s="6">
        <f>VLOOKUP(J212,Лист2!$F:$I,3)</f>
        <v>2330</v>
      </c>
      <c r="G212" s="6">
        <f>VLOOKUP(J212,Лист2!$F:$I,4)</f>
        <v>2142</v>
      </c>
      <c r="H212" s="6">
        <f t="shared" si="6"/>
        <v>169602.64285714287</v>
      </c>
      <c r="I212" s="6">
        <f t="shared" si="7"/>
        <v>22</v>
      </c>
      <c r="J212" s="4" t="s">
        <v>238</v>
      </c>
    </row>
    <row r="213" spans="1:10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 s="9">
        <f>VLOOKUP(J213,Лист2!$F:$I,2)</f>
        <v>20</v>
      </c>
      <c r="F213" s="9">
        <f>VLOOKUP(J213,Лист2!$F:$I,3)</f>
        <v>1756</v>
      </c>
      <c r="G213" s="9">
        <f>VLOOKUP(J213,Лист2!$F:$I,4)</f>
        <v>1586</v>
      </c>
      <c r="H213" s="9">
        <f t="shared" si="6"/>
        <v>142665.52499999999</v>
      </c>
      <c r="I213" s="9">
        <f t="shared" si="7"/>
        <v>18</v>
      </c>
      <c r="J213" s="4" t="s">
        <v>239</v>
      </c>
    </row>
    <row r="214" spans="1:10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6">
        <f>VLOOKUP(J214,Лист2!$F:$I,2)</f>
        <v>21</v>
      </c>
      <c r="F214" s="6">
        <f>VLOOKUP(J214,Лист2!$F:$I,3)</f>
        <v>2120</v>
      </c>
      <c r="G214" s="6">
        <f>VLOOKUP(J214,Лист2!$F:$I,4)</f>
        <v>1921</v>
      </c>
      <c r="H214" s="6">
        <f t="shared" si="6"/>
        <v>169004.64285714287</v>
      </c>
      <c r="I214" s="6">
        <f t="shared" si="7"/>
        <v>19</v>
      </c>
      <c r="J214" s="4" t="s">
        <v>240</v>
      </c>
    </row>
    <row r="215" spans="1:10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 s="9">
        <f>VLOOKUP(J215,Лист2!$F:$I,2)</f>
        <v>21</v>
      </c>
      <c r="F215" s="9">
        <f>VLOOKUP(J215,Лист2!$F:$I,3)</f>
        <v>1957</v>
      </c>
      <c r="G215" s="9">
        <f>VLOOKUP(J215,Лист2!$F:$I,4)</f>
        <v>1755</v>
      </c>
      <c r="H215" s="9">
        <f t="shared" si="6"/>
        <v>152445.64285714287</v>
      </c>
      <c r="I215" s="9">
        <f t="shared" si="7"/>
        <v>19</v>
      </c>
      <c r="J215" s="4" t="s">
        <v>241</v>
      </c>
    </row>
    <row r="216" spans="1:10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6">
        <f>VLOOKUP(J216,Лист2!$F:$I,2)</f>
        <v>21</v>
      </c>
      <c r="F216" s="6">
        <f>VLOOKUP(J216,Лист2!$F:$I,3)</f>
        <v>1879</v>
      </c>
      <c r="G216" s="6">
        <f>VLOOKUP(J216,Лист2!$F:$I,4)</f>
        <v>1695</v>
      </c>
      <c r="H216" s="6">
        <f t="shared" si="6"/>
        <v>139738.28571428571</v>
      </c>
      <c r="I216" s="6">
        <f t="shared" si="7"/>
        <v>19</v>
      </c>
      <c r="J216" s="4" t="s">
        <v>242</v>
      </c>
    </row>
    <row r="217" spans="1:10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 s="9">
        <f>VLOOKUP(J217,Лист2!$F:$I,2)</f>
        <v>21</v>
      </c>
      <c r="F217" s="9">
        <f>VLOOKUP(J217,Лист2!$F:$I,3)</f>
        <v>2254</v>
      </c>
      <c r="G217" s="9">
        <f>VLOOKUP(J217,Лист2!$F:$I,4)</f>
        <v>2061</v>
      </c>
      <c r="H217" s="9">
        <f t="shared" si="6"/>
        <v>164252.5</v>
      </c>
      <c r="I217" s="9">
        <f t="shared" si="7"/>
        <v>21</v>
      </c>
      <c r="J217" s="4" t="s">
        <v>243</v>
      </c>
    </row>
    <row r="218" spans="1:10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6">
        <f>VLOOKUP(J218,Лист2!$F:$I,2)</f>
        <v>23</v>
      </c>
      <c r="F218" s="6">
        <f>VLOOKUP(J218,Лист2!$F:$I,3)</f>
        <v>2522</v>
      </c>
      <c r="G218" s="6">
        <f>VLOOKUP(J218,Лист2!$F:$I,4)</f>
        <v>2295</v>
      </c>
      <c r="H218" s="6">
        <f t="shared" si="6"/>
        <v>173658.84782608695</v>
      </c>
      <c r="I218" s="6">
        <f t="shared" si="7"/>
        <v>22</v>
      </c>
      <c r="J218" s="4" t="s">
        <v>244</v>
      </c>
    </row>
    <row r="219" spans="1:10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 s="9">
        <f>VLOOKUP(J219,Лист2!$F:$I,2)</f>
        <v>22</v>
      </c>
      <c r="F219" s="9">
        <f>VLOOKUP(J219,Лист2!$F:$I,3)</f>
        <v>2793</v>
      </c>
      <c r="G219" s="9">
        <f>VLOOKUP(J219,Лист2!$F:$I,4)</f>
        <v>2539</v>
      </c>
      <c r="H219" s="9">
        <f t="shared" si="6"/>
        <v>202565.52272727274</v>
      </c>
      <c r="I219" s="9">
        <f t="shared" si="7"/>
        <v>22</v>
      </c>
      <c r="J219" s="4" t="s">
        <v>245</v>
      </c>
    </row>
    <row r="220" spans="1:10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6">
        <f>VLOOKUP(J220,Лист2!$F:$I,2)</f>
        <v>22</v>
      </c>
      <c r="F220" s="6">
        <f>VLOOKUP(J220,Лист2!$F:$I,3)</f>
        <v>2454</v>
      </c>
      <c r="G220" s="6">
        <f>VLOOKUP(J220,Лист2!$F:$I,4)</f>
        <v>2239</v>
      </c>
      <c r="H220" s="6">
        <f t="shared" si="6"/>
        <v>176985.47727272726</v>
      </c>
      <c r="I220" s="6">
        <f t="shared" si="7"/>
        <v>22</v>
      </c>
      <c r="J220" s="4" t="s">
        <v>246</v>
      </c>
    </row>
    <row r="221" spans="1:10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 s="9">
        <f>VLOOKUP(J221,Лист2!$F:$I,2)</f>
        <v>15</v>
      </c>
      <c r="F221" s="9">
        <f>VLOOKUP(J221,Лист2!$F:$I,3)</f>
        <v>1111</v>
      </c>
      <c r="G221" s="9">
        <f>VLOOKUP(J221,Лист2!$F:$I,4)</f>
        <v>992</v>
      </c>
      <c r="H221" s="9">
        <f t="shared" si="6"/>
        <v>106761.7</v>
      </c>
      <c r="I221" s="9">
        <f t="shared" si="7"/>
        <v>20</v>
      </c>
      <c r="J221" s="4" t="s">
        <v>247</v>
      </c>
    </row>
    <row r="222" spans="1:10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6">
        <f>VLOOKUP(J222,Лист2!$F:$I,2)</f>
        <v>16</v>
      </c>
      <c r="F222" s="6">
        <f>VLOOKUP(J222,Лист2!$F:$I,3)</f>
        <v>1012</v>
      </c>
      <c r="G222" s="6">
        <f>VLOOKUP(J222,Лист2!$F:$I,4)</f>
        <v>900</v>
      </c>
      <c r="H222" s="6">
        <f t="shared" si="6"/>
        <v>85302.9375</v>
      </c>
      <c r="I222" s="6">
        <f t="shared" si="7"/>
        <v>21</v>
      </c>
      <c r="J222" s="4" t="s">
        <v>248</v>
      </c>
    </row>
    <row r="223" spans="1:10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 s="9">
        <f>VLOOKUP(J223,Лист2!$F:$I,2)</f>
        <v>15</v>
      </c>
      <c r="F223" s="9">
        <f>VLOOKUP(J223,Лист2!$F:$I,3)</f>
        <v>971</v>
      </c>
      <c r="G223" s="9">
        <f>VLOOKUP(J223,Лист2!$F:$I,4)</f>
        <v>856</v>
      </c>
      <c r="H223" s="9">
        <f t="shared" si="6"/>
        <v>91838.5</v>
      </c>
      <c r="I223" s="9">
        <f t="shared" si="7"/>
        <v>20</v>
      </c>
      <c r="J223" s="4" t="s">
        <v>249</v>
      </c>
    </row>
    <row r="224" spans="1:10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6">
        <f>VLOOKUP(J224,Лист2!$F:$I,2)</f>
        <v>15</v>
      </c>
      <c r="F224" s="6">
        <f>VLOOKUP(J224,Лист2!$F:$I,3)</f>
        <v>849</v>
      </c>
      <c r="G224" s="6">
        <f>VLOOKUP(J224,Лист2!$F:$I,4)</f>
        <v>740</v>
      </c>
      <c r="H224" s="6">
        <f t="shared" si="6"/>
        <v>81528.800000000003</v>
      </c>
      <c r="I224" s="6">
        <f t="shared" si="7"/>
        <v>19</v>
      </c>
      <c r="J224" s="4" t="s">
        <v>250</v>
      </c>
    </row>
    <row r="225" spans="1:10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 s="9">
        <f>VLOOKUP(J225,Лист2!$F:$I,2)</f>
        <v>15</v>
      </c>
      <c r="F225" s="9">
        <f>VLOOKUP(J225,Лист2!$F:$I,3)</f>
        <v>750</v>
      </c>
      <c r="G225" s="9">
        <f>VLOOKUP(J225,Лист2!$F:$I,4)</f>
        <v>647</v>
      </c>
      <c r="H225" s="9">
        <f t="shared" si="6"/>
        <v>72347.399999999994</v>
      </c>
      <c r="I225" s="9">
        <f t="shared" si="7"/>
        <v>19</v>
      </c>
      <c r="J225" s="4" t="s">
        <v>251</v>
      </c>
    </row>
    <row r="226" spans="1:10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6">
        <f>VLOOKUP(J226,Лист2!$F:$I,2)</f>
        <v>15</v>
      </c>
      <c r="F226" s="6">
        <f>VLOOKUP(J226,Лист2!$F:$I,3)</f>
        <v>786</v>
      </c>
      <c r="G226" s="6">
        <f>VLOOKUP(J226,Лист2!$F:$I,4)</f>
        <v>695</v>
      </c>
      <c r="H226" s="6">
        <f t="shared" si="6"/>
        <v>74399.5</v>
      </c>
      <c r="I226" s="6">
        <f t="shared" si="7"/>
        <v>18</v>
      </c>
      <c r="J226" s="4" t="s">
        <v>252</v>
      </c>
    </row>
    <row r="227" spans="1:10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 s="9">
        <f>VLOOKUP(J227,Лист2!$F:$I,2)</f>
        <v>15</v>
      </c>
      <c r="F227" s="9">
        <f>VLOOKUP(J227,Лист2!$F:$I,3)</f>
        <v>751</v>
      </c>
      <c r="G227" s="9">
        <f>VLOOKUP(J227,Лист2!$F:$I,4)</f>
        <v>651</v>
      </c>
      <c r="H227" s="9">
        <f t="shared" si="6"/>
        <v>70214.7</v>
      </c>
      <c r="I227" s="9">
        <f t="shared" si="7"/>
        <v>18</v>
      </c>
      <c r="J227" s="4" t="s">
        <v>253</v>
      </c>
    </row>
    <row r="228" spans="1:10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6">
        <f>VLOOKUP(J228,Лист2!$F:$I,2)</f>
        <v>17</v>
      </c>
      <c r="F228" s="6">
        <f>VLOOKUP(J228,Лист2!$F:$I,3)</f>
        <v>1140</v>
      </c>
      <c r="G228" s="6">
        <f>VLOOKUP(J228,Лист2!$F:$I,4)</f>
        <v>1016</v>
      </c>
      <c r="H228" s="6">
        <f t="shared" si="6"/>
        <v>87596.029411764699</v>
      </c>
      <c r="I228" s="6">
        <f t="shared" si="7"/>
        <v>22</v>
      </c>
      <c r="J228" s="4" t="s">
        <v>254</v>
      </c>
    </row>
    <row r="229" spans="1:10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 s="9">
        <f>VLOOKUP(J229,Лист2!$F:$I,2)</f>
        <v>15</v>
      </c>
      <c r="F229" s="9">
        <f>VLOOKUP(J229,Лист2!$F:$I,3)</f>
        <v>996</v>
      </c>
      <c r="G229" s="9">
        <f>VLOOKUP(J229,Лист2!$F:$I,4)</f>
        <v>888</v>
      </c>
      <c r="H229" s="9">
        <f t="shared" si="6"/>
        <v>97722.8</v>
      </c>
      <c r="I229" s="9">
        <f t="shared" si="7"/>
        <v>18</v>
      </c>
      <c r="J229" s="4" t="s">
        <v>255</v>
      </c>
    </row>
    <row r="230" spans="1:10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6">
        <f>VLOOKUP(J230,Лист2!$F:$I,2)</f>
        <v>15</v>
      </c>
      <c r="F230" s="6">
        <f>VLOOKUP(J230,Лист2!$F:$I,3)</f>
        <v>845</v>
      </c>
      <c r="G230" s="6">
        <f>VLOOKUP(J230,Лист2!$F:$I,4)</f>
        <v>743</v>
      </c>
      <c r="H230" s="6">
        <f t="shared" si="6"/>
        <v>74922</v>
      </c>
      <c r="I230" s="6">
        <f t="shared" si="7"/>
        <v>20</v>
      </c>
      <c r="J230" s="4" t="s">
        <v>256</v>
      </c>
    </row>
    <row r="231" spans="1:10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 s="9">
        <f>VLOOKUP(J231,Лист2!$F:$I,2)</f>
        <v>17</v>
      </c>
      <c r="F231" s="9">
        <f>VLOOKUP(J231,Лист2!$F:$I,3)</f>
        <v>1045</v>
      </c>
      <c r="G231" s="9">
        <f>VLOOKUP(J231,Лист2!$F:$I,4)</f>
        <v>930</v>
      </c>
      <c r="H231" s="9">
        <f t="shared" si="6"/>
        <v>81220.676470588238</v>
      </c>
      <c r="I231" s="9">
        <f t="shared" si="7"/>
        <v>21</v>
      </c>
      <c r="J231" s="4" t="s">
        <v>257</v>
      </c>
    </row>
    <row r="232" spans="1:10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6">
        <f>VLOOKUP(J232,Лист2!$F:$I,2)</f>
        <v>16</v>
      </c>
      <c r="F232" s="6">
        <f>VLOOKUP(J232,Лист2!$F:$I,3)</f>
        <v>1050</v>
      </c>
      <c r="G232" s="6">
        <f>VLOOKUP(J232,Лист2!$F:$I,4)</f>
        <v>938</v>
      </c>
      <c r="H232" s="6">
        <f t="shared" si="6"/>
        <v>89390.90625</v>
      </c>
      <c r="I232" s="6">
        <f t="shared" si="7"/>
        <v>21</v>
      </c>
      <c r="J232" s="4" t="s">
        <v>258</v>
      </c>
    </row>
    <row r="233" spans="1:10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 s="9">
        <f>VLOOKUP(J233,Лист2!$F:$I,2)</f>
        <v>15</v>
      </c>
      <c r="F233" s="9">
        <f>VLOOKUP(J233,Лист2!$F:$I,3)</f>
        <v>922</v>
      </c>
      <c r="G233" s="9">
        <f>VLOOKUP(J233,Лист2!$F:$I,4)</f>
        <v>823</v>
      </c>
      <c r="H233" s="9">
        <f t="shared" si="6"/>
        <v>92278.6</v>
      </c>
      <c r="I233" s="9">
        <f t="shared" si="7"/>
        <v>19</v>
      </c>
      <c r="J233" s="4" t="s">
        <v>259</v>
      </c>
    </row>
    <row r="234" spans="1:10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6">
        <f>VLOOKUP(J234,Лист2!$F:$I,2)</f>
        <v>15</v>
      </c>
      <c r="F234" s="6">
        <f>VLOOKUP(J234,Лист2!$F:$I,3)</f>
        <v>780</v>
      </c>
      <c r="G234" s="6">
        <f>VLOOKUP(J234,Лист2!$F:$I,4)</f>
        <v>690</v>
      </c>
      <c r="H234" s="6">
        <f t="shared" si="6"/>
        <v>73525.8</v>
      </c>
      <c r="I234" s="6">
        <f t="shared" si="7"/>
        <v>18</v>
      </c>
      <c r="J234" s="4" t="s">
        <v>260</v>
      </c>
    </row>
    <row r="235" spans="1:10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 s="9">
        <f>VLOOKUP(J235,Лист2!$F:$I,2)</f>
        <v>15</v>
      </c>
      <c r="F235" s="9">
        <f>VLOOKUP(J235,Лист2!$F:$I,3)</f>
        <v>898</v>
      </c>
      <c r="G235" s="9">
        <f>VLOOKUP(J235,Лист2!$F:$I,4)</f>
        <v>795</v>
      </c>
      <c r="H235" s="9">
        <f t="shared" si="6"/>
        <v>82900.5</v>
      </c>
      <c r="I235" s="9">
        <f t="shared" si="7"/>
        <v>20</v>
      </c>
      <c r="J235" s="4" t="s">
        <v>261</v>
      </c>
    </row>
    <row r="236" spans="1:10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6">
        <f>VLOOKUP(J236,Лист2!$F:$I,2)</f>
        <v>15</v>
      </c>
      <c r="F236" s="6">
        <f>VLOOKUP(J236,Лист2!$F:$I,3)</f>
        <v>784</v>
      </c>
      <c r="G236" s="6">
        <f>VLOOKUP(J236,Лист2!$F:$I,4)</f>
        <v>696</v>
      </c>
      <c r="H236" s="6">
        <f t="shared" si="6"/>
        <v>74667.3</v>
      </c>
      <c r="I236" s="6">
        <f t="shared" si="7"/>
        <v>18</v>
      </c>
      <c r="J236" s="4" t="s">
        <v>262</v>
      </c>
    </row>
    <row r="237" spans="1:10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 s="9">
        <f>VLOOKUP(J237,Лист2!$F:$I,2)</f>
        <v>15</v>
      </c>
      <c r="F237" s="9">
        <f>VLOOKUP(J237,Лист2!$F:$I,3)</f>
        <v>839</v>
      </c>
      <c r="G237" s="9">
        <f>VLOOKUP(J237,Лист2!$F:$I,4)</f>
        <v>733</v>
      </c>
      <c r="H237" s="9">
        <f t="shared" si="6"/>
        <v>81403.8</v>
      </c>
      <c r="I237" s="9">
        <f t="shared" si="7"/>
        <v>19</v>
      </c>
      <c r="J237" s="4" t="s">
        <v>263</v>
      </c>
    </row>
    <row r="238" spans="1:10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6">
        <f>VLOOKUP(J238,Лист2!$F:$I,2)</f>
        <v>17</v>
      </c>
      <c r="F238" s="6">
        <f>VLOOKUP(J238,Лист2!$F:$I,3)</f>
        <v>1294</v>
      </c>
      <c r="G238" s="6">
        <f>VLOOKUP(J238,Лист2!$F:$I,4)</f>
        <v>1155</v>
      </c>
      <c r="H238" s="6">
        <f t="shared" si="6"/>
        <v>109058.91176470589</v>
      </c>
      <c r="I238" s="6">
        <f t="shared" si="7"/>
        <v>21</v>
      </c>
      <c r="J238" s="4" t="s">
        <v>264</v>
      </c>
    </row>
    <row r="239" spans="1:10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 s="9">
        <f>VLOOKUP(J239,Лист2!$F:$I,2)</f>
        <v>17</v>
      </c>
      <c r="F239" s="9">
        <f>VLOOKUP(J239,Лист2!$F:$I,3)</f>
        <v>1142</v>
      </c>
      <c r="G239" s="9">
        <f>VLOOKUP(J239,Лист2!$F:$I,4)</f>
        <v>1020</v>
      </c>
      <c r="H239" s="9">
        <f t="shared" si="6"/>
        <v>88698.088235294112</v>
      </c>
      <c r="I239" s="9">
        <f t="shared" si="7"/>
        <v>22</v>
      </c>
      <c r="J239" s="4" t="s">
        <v>265</v>
      </c>
    </row>
    <row r="240" spans="1:10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6">
        <f>VLOOKUP(J240,Лист2!$F:$I,2)</f>
        <v>15</v>
      </c>
      <c r="F240" s="6">
        <f>VLOOKUP(J240,Лист2!$F:$I,3)</f>
        <v>791</v>
      </c>
      <c r="G240" s="6">
        <f>VLOOKUP(J240,Лист2!$F:$I,4)</f>
        <v>691</v>
      </c>
      <c r="H240" s="6">
        <f t="shared" si="6"/>
        <v>73537.899999999994</v>
      </c>
      <c r="I240" s="6">
        <f t="shared" si="7"/>
        <v>18</v>
      </c>
      <c r="J240" s="4" t="s">
        <v>266</v>
      </c>
    </row>
    <row r="241" spans="1:10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 s="9">
        <f>VLOOKUP(J241,Лист2!$F:$I,2)</f>
        <v>15</v>
      </c>
      <c r="F241" s="9">
        <f>VLOOKUP(J241,Лист2!$F:$I,3)</f>
        <v>950</v>
      </c>
      <c r="G241" s="9">
        <f>VLOOKUP(J241,Лист2!$F:$I,4)</f>
        <v>848</v>
      </c>
      <c r="H241" s="9">
        <f t="shared" si="6"/>
        <v>98102.5</v>
      </c>
      <c r="I241" s="9">
        <f t="shared" si="7"/>
        <v>19</v>
      </c>
      <c r="J241" s="4" t="s">
        <v>267</v>
      </c>
    </row>
    <row r="242" spans="1:10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6">
        <f>VLOOKUP(J242,Лист2!$F:$I,2)</f>
        <v>15</v>
      </c>
      <c r="F242" s="6">
        <f>VLOOKUP(J242,Лист2!$F:$I,3)</f>
        <v>879</v>
      </c>
      <c r="G242" s="6">
        <f>VLOOKUP(J242,Лист2!$F:$I,4)</f>
        <v>768</v>
      </c>
      <c r="H242" s="6">
        <f t="shared" si="6"/>
        <v>84652.4</v>
      </c>
      <c r="I242" s="6">
        <f t="shared" si="7"/>
        <v>19</v>
      </c>
      <c r="J242" s="4" t="s">
        <v>268</v>
      </c>
    </row>
    <row r="243" spans="1:10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 s="9">
        <f>VLOOKUP(J243,Лист2!$F:$I,2)</f>
        <v>15</v>
      </c>
      <c r="F243" s="9">
        <f>VLOOKUP(J243,Лист2!$F:$I,3)</f>
        <v>805</v>
      </c>
      <c r="G243" s="9">
        <f>VLOOKUP(J243,Лист2!$F:$I,4)</f>
        <v>703</v>
      </c>
      <c r="H243" s="9">
        <f t="shared" si="6"/>
        <v>74926.3</v>
      </c>
      <c r="I243" s="9">
        <f t="shared" si="7"/>
        <v>19</v>
      </c>
      <c r="J243" s="4" t="s">
        <v>269</v>
      </c>
    </row>
    <row r="244" spans="1:10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6">
        <f>VLOOKUP(J244,Лист2!$F:$I,2)</f>
        <v>17</v>
      </c>
      <c r="F244" s="6">
        <f>VLOOKUP(J244,Лист2!$F:$I,3)</f>
        <v>1128</v>
      </c>
      <c r="G244" s="6">
        <f>VLOOKUP(J244,Лист2!$F:$I,4)</f>
        <v>1001</v>
      </c>
      <c r="H244" s="6">
        <f t="shared" si="6"/>
        <v>91064.647058823524</v>
      </c>
      <c r="I244" s="6">
        <f t="shared" si="7"/>
        <v>21</v>
      </c>
      <c r="J244" s="4" t="s">
        <v>270</v>
      </c>
    </row>
    <row r="245" spans="1:10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 s="9">
        <f>VLOOKUP(J245,Лист2!$F:$I,2)</f>
        <v>15</v>
      </c>
      <c r="F245" s="9">
        <f>VLOOKUP(J245,Лист2!$F:$I,3)</f>
        <v>747</v>
      </c>
      <c r="G245" s="9">
        <f>VLOOKUP(J245,Лист2!$F:$I,4)</f>
        <v>647</v>
      </c>
      <c r="H245" s="9">
        <f t="shared" si="6"/>
        <v>81002.2</v>
      </c>
      <c r="I245" s="9">
        <f t="shared" si="7"/>
        <v>20</v>
      </c>
      <c r="J245" s="4" t="s">
        <v>271</v>
      </c>
    </row>
    <row r="246" spans="1:10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6">
        <f>VLOOKUP(J246,Лист2!$F:$I,2)</f>
        <v>15</v>
      </c>
      <c r="F246" s="6">
        <f>VLOOKUP(J246,Лист2!$F:$I,3)</f>
        <v>930</v>
      </c>
      <c r="G246" s="6">
        <f>VLOOKUP(J246,Лист2!$F:$I,4)</f>
        <v>827</v>
      </c>
      <c r="H246" s="6">
        <f t="shared" si="6"/>
        <v>93536.5</v>
      </c>
      <c r="I246" s="6">
        <f t="shared" si="7"/>
        <v>21</v>
      </c>
      <c r="J246" s="4" t="s">
        <v>272</v>
      </c>
    </row>
    <row r="247" spans="1:10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 s="9">
        <f>VLOOKUP(J247,Лист2!$F:$I,2)</f>
        <v>15</v>
      </c>
      <c r="F247" s="9">
        <f>VLOOKUP(J247,Лист2!$F:$I,3)</f>
        <v>692</v>
      </c>
      <c r="G247" s="9">
        <f>VLOOKUP(J247,Лист2!$F:$I,4)</f>
        <v>591</v>
      </c>
      <c r="H247" s="9">
        <f t="shared" si="6"/>
        <v>70699.3</v>
      </c>
      <c r="I247" s="9">
        <f t="shared" si="7"/>
        <v>20</v>
      </c>
      <c r="J247" s="4" t="s">
        <v>273</v>
      </c>
    </row>
    <row r="248" spans="1:10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6">
        <f>VLOOKUP(J248,Лист2!$F:$I,2)</f>
        <v>15</v>
      </c>
      <c r="F248" s="6">
        <f>VLOOKUP(J248,Лист2!$F:$I,3)</f>
        <v>623</v>
      </c>
      <c r="G248" s="6">
        <f>VLOOKUP(J248,Лист2!$F:$I,4)</f>
        <v>535</v>
      </c>
      <c r="H248" s="6">
        <f t="shared" si="6"/>
        <v>72081.100000000006</v>
      </c>
      <c r="I248" s="6">
        <f t="shared" si="7"/>
        <v>19</v>
      </c>
      <c r="J248" s="4" t="s">
        <v>274</v>
      </c>
    </row>
    <row r="249" spans="1:10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 s="9">
        <f>VLOOKUP(J249,Лист2!$F:$I,2)</f>
        <v>15</v>
      </c>
      <c r="F249" s="9">
        <f>VLOOKUP(J249,Лист2!$F:$I,3)</f>
        <v>390</v>
      </c>
      <c r="G249" s="9">
        <f>VLOOKUP(J249,Лист2!$F:$I,4)</f>
        <v>315</v>
      </c>
      <c r="H249" s="9">
        <f t="shared" si="6"/>
        <v>40723.699999999997</v>
      </c>
      <c r="I249" s="9">
        <f t="shared" si="7"/>
        <v>19</v>
      </c>
      <c r="J249" s="4" t="s">
        <v>275</v>
      </c>
    </row>
    <row r="250" spans="1:10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6">
        <f>VLOOKUP(J250,Лист2!$F:$I,2)</f>
        <v>18</v>
      </c>
      <c r="F250" s="6">
        <f>VLOOKUP(J250,Лист2!$F:$I,3)</f>
        <v>1599</v>
      </c>
      <c r="G250" s="6">
        <f>VLOOKUP(J250,Лист2!$F:$I,4)</f>
        <v>1450</v>
      </c>
      <c r="H250" s="6">
        <f t="shared" si="6"/>
        <v>131161.91666666666</v>
      </c>
      <c r="I250" s="6">
        <f t="shared" si="7"/>
        <v>18</v>
      </c>
      <c r="J250" s="4" t="s">
        <v>276</v>
      </c>
    </row>
    <row r="251" spans="1:10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 s="9">
        <f>VLOOKUP(J251,Лист2!$F:$I,2)</f>
        <v>15</v>
      </c>
      <c r="F251" s="9">
        <f>VLOOKUP(J251,Лист2!$F:$I,3)</f>
        <v>274</v>
      </c>
      <c r="G251" s="9">
        <f>VLOOKUP(J251,Лист2!$F:$I,4)</f>
        <v>203</v>
      </c>
      <c r="H251" s="9">
        <f t="shared" si="6"/>
        <v>28882.9</v>
      </c>
      <c r="I251" s="9">
        <f t="shared" si="7"/>
        <v>18</v>
      </c>
      <c r="J251" s="4" t="s">
        <v>277</v>
      </c>
    </row>
    <row r="252" spans="1:10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6">
        <f>VLOOKUP(J252,Лист2!$F:$I,2)</f>
        <v>15</v>
      </c>
      <c r="F252" s="6">
        <f>VLOOKUP(J252,Лист2!$F:$I,3)</f>
        <v>812</v>
      </c>
      <c r="G252" s="6">
        <f>VLOOKUP(J252,Лист2!$F:$I,4)</f>
        <v>711</v>
      </c>
      <c r="H252" s="6">
        <f t="shared" si="6"/>
        <v>76803.600000000006</v>
      </c>
      <c r="I252" s="6">
        <f t="shared" si="7"/>
        <v>22</v>
      </c>
      <c r="J252" s="4" t="s">
        <v>278</v>
      </c>
    </row>
    <row r="253" spans="1:10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 s="9">
        <f>VLOOKUP(J253,Лист2!$F:$I,2)</f>
        <v>15</v>
      </c>
      <c r="F253" s="9">
        <f>VLOOKUP(J253,Лист2!$F:$I,3)</f>
        <v>294</v>
      </c>
      <c r="G253" s="9">
        <f>VLOOKUP(J253,Лист2!$F:$I,4)</f>
        <v>225</v>
      </c>
      <c r="H253" s="9">
        <f t="shared" si="6"/>
        <v>33704.800000000003</v>
      </c>
      <c r="I253" s="9">
        <f t="shared" si="7"/>
        <v>18</v>
      </c>
      <c r="J253" s="4" t="s">
        <v>279</v>
      </c>
    </row>
    <row r="254" spans="1:10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6">
        <f>VLOOKUP(J254,Лист2!$F:$I,2)</f>
        <v>15</v>
      </c>
      <c r="F254" s="6">
        <f>VLOOKUP(J254,Лист2!$F:$I,3)</f>
        <v>624</v>
      </c>
      <c r="G254" s="6">
        <f>VLOOKUP(J254,Лист2!$F:$I,4)</f>
        <v>538</v>
      </c>
      <c r="H254" s="6">
        <f t="shared" si="6"/>
        <v>65975.5</v>
      </c>
      <c r="I254" s="6">
        <f t="shared" si="7"/>
        <v>20</v>
      </c>
      <c r="J254" s="4" t="s">
        <v>280</v>
      </c>
    </row>
    <row r="255" spans="1:10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 s="9">
        <f>VLOOKUP(J255,Лист2!$F:$I,2)</f>
        <v>15</v>
      </c>
      <c r="F255" s="9">
        <f>VLOOKUP(J255,Лист2!$F:$I,3)</f>
        <v>749</v>
      </c>
      <c r="G255" s="9">
        <f>VLOOKUP(J255,Лист2!$F:$I,4)</f>
        <v>652</v>
      </c>
      <c r="H255" s="9">
        <f t="shared" si="6"/>
        <v>73574.899999999994</v>
      </c>
      <c r="I255" s="9">
        <f t="shared" si="7"/>
        <v>21</v>
      </c>
      <c r="J255" s="4" t="s">
        <v>281</v>
      </c>
    </row>
    <row r="256" spans="1:10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6">
        <f>VLOOKUP(J256,Лист2!$F:$I,2)</f>
        <v>15</v>
      </c>
      <c r="F256" s="6">
        <f>VLOOKUP(J256,Лист2!$F:$I,3)</f>
        <v>760</v>
      </c>
      <c r="G256" s="6">
        <f>VLOOKUP(J256,Лист2!$F:$I,4)</f>
        <v>664</v>
      </c>
      <c r="H256" s="6">
        <f t="shared" si="6"/>
        <v>73657.2</v>
      </c>
      <c r="I256" s="6">
        <f t="shared" si="7"/>
        <v>21</v>
      </c>
      <c r="J256" s="4" t="s">
        <v>282</v>
      </c>
    </row>
    <row r="257" spans="1:10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 s="9">
        <f>VLOOKUP(J257,Лист2!$F:$I,2)</f>
        <v>15</v>
      </c>
      <c r="F257" s="9">
        <f>VLOOKUP(J257,Лист2!$F:$I,3)</f>
        <v>455</v>
      </c>
      <c r="G257" s="9">
        <f>VLOOKUP(J257,Лист2!$F:$I,4)</f>
        <v>381</v>
      </c>
      <c r="H257" s="9">
        <f t="shared" si="6"/>
        <v>46306.2</v>
      </c>
      <c r="I257" s="9">
        <f t="shared" si="7"/>
        <v>19</v>
      </c>
      <c r="J257" s="4" t="s">
        <v>283</v>
      </c>
    </row>
    <row r="258" spans="1:10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6">
        <f>VLOOKUP(J258,Лист2!$F:$I,2)</f>
        <v>18</v>
      </c>
      <c r="F258" s="6">
        <f>VLOOKUP(J258,Лист2!$F:$I,3)</f>
        <v>1505</v>
      </c>
      <c r="G258" s="6">
        <f>VLOOKUP(J258,Лист2!$F:$I,4)</f>
        <v>1368</v>
      </c>
      <c r="H258" s="6">
        <f t="shared" si="6"/>
        <v>126504</v>
      </c>
      <c r="I258" s="6">
        <f t="shared" si="7"/>
        <v>18</v>
      </c>
      <c r="J258" s="4" t="s">
        <v>284</v>
      </c>
    </row>
    <row r="259" spans="1:10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 s="9">
        <f>VLOOKUP(J259,Лист2!$F:$I,2)</f>
        <v>15</v>
      </c>
      <c r="F259" s="9">
        <f>VLOOKUP(J259,Лист2!$F:$I,3)</f>
        <v>599</v>
      </c>
      <c r="G259" s="9">
        <f>VLOOKUP(J259,Лист2!$F:$I,4)</f>
        <v>515</v>
      </c>
      <c r="H259" s="9">
        <f t="shared" ref="H259:H322" si="8">D259/E259</f>
        <v>63327.5</v>
      </c>
      <c r="I259" s="9">
        <f t="shared" ref="I259:I322" si="9">WEEKNUM(A259,2)</f>
        <v>20</v>
      </c>
      <c r="J259" s="4" t="s">
        <v>285</v>
      </c>
    </row>
    <row r="260" spans="1:10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6">
        <f>VLOOKUP(J260,Лист2!$F:$I,2)</f>
        <v>17</v>
      </c>
      <c r="F260" s="6">
        <f>VLOOKUP(J260,Лист2!$F:$I,3)</f>
        <v>1186</v>
      </c>
      <c r="G260" s="6">
        <f>VLOOKUP(J260,Лист2!$F:$I,4)</f>
        <v>1054</v>
      </c>
      <c r="H260" s="6">
        <f t="shared" si="8"/>
        <v>93654.088235294112</v>
      </c>
      <c r="I260" s="6">
        <f t="shared" si="9"/>
        <v>22</v>
      </c>
      <c r="J260" s="4" t="s">
        <v>286</v>
      </c>
    </row>
    <row r="261" spans="1:10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 s="9">
        <f>VLOOKUP(J261,Лист2!$F:$I,2)</f>
        <v>15</v>
      </c>
      <c r="F261" s="9">
        <f>VLOOKUP(J261,Лист2!$F:$I,3)</f>
        <v>455</v>
      </c>
      <c r="G261" s="9">
        <f>VLOOKUP(J261,Лист2!$F:$I,4)</f>
        <v>384</v>
      </c>
      <c r="H261" s="9">
        <f t="shared" si="8"/>
        <v>44353.5</v>
      </c>
      <c r="I261" s="9">
        <f t="shared" si="9"/>
        <v>18</v>
      </c>
      <c r="J261" s="4" t="s">
        <v>287</v>
      </c>
    </row>
    <row r="262" spans="1:10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6">
        <f>VLOOKUP(J262,Лист2!$F:$I,2)</f>
        <v>17</v>
      </c>
      <c r="F262" s="6">
        <f>VLOOKUP(J262,Лист2!$F:$I,3)</f>
        <v>1697</v>
      </c>
      <c r="G262" s="6">
        <f>VLOOKUP(J262,Лист2!$F:$I,4)</f>
        <v>1499</v>
      </c>
      <c r="H262" s="6">
        <f t="shared" si="8"/>
        <v>144544.23529411765</v>
      </c>
      <c r="I262" s="6">
        <f t="shared" si="9"/>
        <v>22</v>
      </c>
      <c r="J262" s="4" t="s">
        <v>288</v>
      </c>
    </row>
    <row r="263" spans="1:10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 s="9">
        <f>VLOOKUP(J263,Лист2!$F:$I,2)</f>
        <v>15</v>
      </c>
      <c r="F263" s="9">
        <f>VLOOKUP(J263,Лист2!$F:$I,3)</f>
        <v>467</v>
      </c>
      <c r="G263" s="9">
        <f>VLOOKUP(J263,Лист2!$F:$I,4)</f>
        <v>389</v>
      </c>
      <c r="H263" s="9">
        <f t="shared" si="8"/>
        <v>49286.1</v>
      </c>
      <c r="I263" s="9">
        <f t="shared" si="9"/>
        <v>19</v>
      </c>
      <c r="J263" s="4" t="s">
        <v>289</v>
      </c>
    </row>
    <row r="264" spans="1:10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6">
        <f>VLOOKUP(J264,Лист2!$F:$I,2)</f>
        <v>15</v>
      </c>
      <c r="F264" s="6">
        <f>VLOOKUP(J264,Лист2!$F:$I,3)</f>
        <v>840</v>
      </c>
      <c r="G264" s="6">
        <f>VLOOKUP(J264,Лист2!$F:$I,4)</f>
        <v>725</v>
      </c>
      <c r="H264" s="6">
        <f t="shared" si="8"/>
        <v>87671.7</v>
      </c>
      <c r="I264" s="6">
        <f t="shared" si="9"/>
        <v>21</v>
      </c>
      <c r="J264" s="4" t="s">
        <v>290</v>
      </c>
    </row>
    <row r="265" spans="1:10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 s="9">
        <f>VLOOKUP(J265,Лист2!$F:$I,2)</f>
        <v>17</v>
      </c>
      <c r="F265" s="9">
        <f>VLOOKUP(J265,Лист2!$F:$I,3)</f>
        <v>1097</v>
      </c>
      <c r="G265" s="9">
        <f>VLOOKUP(J265,Лист2!$F:$I,4)</f>
        <v>968</v>
      </c>
      <c r="H265" s="9">
        <f t="shared" si="8"/>
        <v>87525.176470588238</v>
      </c>
      <c r="I265" s="9">
        <f t="shared" si="9"/>
        <v>22</v>
      </c>
      <c r="J265" s="4" t="s">
        <v>291</v>
      </c>
    </row>
    <row r="266" spans="1:10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6">
        <f>VLOOKUP(J266,Лист2!$F:$I,2)</f>
        <v>15</v>
      </c>
      <c r="F266" s="6">
        <f>VLOOKUP(J266,Лист2!$F:$I,3)</f>
        <v>835</v>
      </c>
      <c r="G266" s="6">
        <f>VLOOKUP(J266,Лист2!$F:$I,4)</f>
        <v>736</v>
      </c>
      <c r="H266" s="6">
        <f t="shared" si="8"/>
        <v>82045.8</v>
      </c>
      <c r="I266" s="6">
        <f t="shared" si="9"/>
        <v>22</v>
      </c>
      <c r="J266" s="4" t="s">
        <v>292</v>
      </c>
    </row>
    <row r="267" spans="1:10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 s="9">
        <f>VLOOKUP(J267,Лист2!$F:$I,2)</f>
        <v>15</v>
      </c>
      <c r="F267" s="9">
        <f>VLOOKUP(J267,Лист2!$F:$I,3)</f>
        <v>262</v>
      </c>
      <c r="G267" s="9">
        <f>VLOOKUP(J267,Лист2!$F:$I,4)</f>
        <v>195</v>
      </c>
      <c r="H267" s="9">
        <f t="shared" si="8"/>
        <v>26979.4</v>
      </c>
      <c r="I267" s="9">
        <f t="shared" si="9"/>
        <v>18</v>
      </c>
      <c r="J267" s="4" t="s">
        <v>293</v>
      </c>
    </row>
    <row r="268" spans="1:10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6">
        <f>VLOOKUP(J268,Лист2!$F:$I,2)</f>
        <v>15</v>
      </c>
      <c r="F268" s="6">
        <f>VLOOKUP(J268,Лист2!$F:$I,3)</f>
        <v>706</v>
      </c>
      <c r="G268" s="6">
        <f>VLOOKUP(J268,Лист2!$F:$I,4)</f>
        <v>608</v>
      </c>
      <c r="H268" s="6">
        <f t="shared" si="8"/>
        <v>79885.7</v>
      </c>
      <c r="I268" s="6">
        <f t="shared" si="9"/>
        <v>19</v>
      </c>
      <c r="J268" s="4" t="s">
        <v>294</v>
      </c>
    </row>
    <row r="269" spans="1:10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 s="9">
        <f>VLOOKUP(J269,Лист2!$F:$I,2)</f>
        <v>15</v>
      </c>
      <c r="F269" s="9">
        <f>VLOOKUP(J269,Лист2!$F:$I,3)</f>
        <v>492</v>
      </c>
      <c r="G269" s="9">
        <f>VLOOKUP(J269,Лист2!$F:$I,4)</f>
        <v>412</v>
      </c>
      <c r="H269" s="9">
        <f t="shared" si="8"/>
        <v>53250.6</v>
      </c>
      <c r="I269" s="9">
        <f t="shared" si="9"/>
        <v>19</v>
      </c>
      <c r="J269" s="4" t="s">
        <v>295</v>
      </c>
    </row>
    <row r="270" spans="1:10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6">
        <f>VLOOKUP(J270,Лист2!$F:$I,2)</f>
        <v>15</v>
      </c>
      <c r="F270" s="6">
        <f>VLOOKUP(J270,Лист2!$F:$I,3)</f>
        <v>480</v>
      </c>
      <c r="G270" s="6">
        <f>VLOOKUP(J270,Лист2!$F:$I,4)</f>
        <v>398</v>
      </c>
      <c r="H270" s="6">
        <f t="shared" si="8"/>
        <v>51285.1</v>
      </c>
      <c r="I270" s="6">
        <f t="shared" si="9"/>
        <v>19</v>
      </c>
      <c r="J270" s="4" t="s">
        <v>296</v>
      </c>
    </row>
    <row r="271" spans="1:10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 s="9">
        <f>VLOOKUP(J271,Лист2!$F:$I,2)</f>
        <v>15</v>
      </c>
      <c r="F271" s="9">
        <f>VLOOKUP(J271,Лист2!$F:$I,3)</f>
        <v>779</v>
      </c>
      <c r="G271" s="9">
        <f>VLOOKUP(J271,Лист2!$F:$I,4)</f>
        <v>673</v>
      </c>
      <c r="H271" s="9">
        <f t="shared" si="8"/>
        <v>78991</v>
      </c>
      <c r="I271" s="9">
        <f t="shared" si="9"/>
        <v>21</v>
      </c>
      <c r="J271" s="4" t="s">
        <v>297</v>
      </c>
    </row>
    <row r="272" spans="1:10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6">
        <f>VLOOKUP(J272,Лист2!$F:$I,2)</f>
        <v>19</v>
      </c>
      <c r="F272" s="6">
        <f>VLOOKUP(J272,Лист2!$F:$I,3)</f>
        <v>2039</v>
      </c>
      <c r="G272" s="6">
        <f>VLOOKUP(J272,Лист2!$F:$I,4)</f>
        <v>1868</v>
      </c>
      <c r="H272" s="6">
        <f t="shared" si="8"/>
        <v>153835.97368421053</v>
      </c>
      <c r="I272" s="6">
        <f t="shared" si="9"/>
        <v>20</v>
      </c>
      <c r="J272" s="4" t="s">
        <v>298</v>
      </c>
    </row>
    <row r="273" spans="1:10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 s="9">
        <f>VLOOKUP(J273,Лист2!$F:$I,2)</f>
        <v>19</v>
      </c>
      <c r="F273" s="9">
        <f>VLOOKUP(J273,Лист2!$F:$I,3)</f>
        <v>1831</v>
      </c>
      <c r="G273" s="9">
        <f>VLOOKUP(J273,Лист2!$F:$I,4)</f>
        <v>1667</v>
      </c>
      <c r="H273" s="9">
        <f t="shared" si="8"/>
        <v>128764.73684210527</v>
      </c>
      <c r="I273" s="9">
        <f t="shared" si="9"/>
        <v>21</v>
      </c>
      <c r="J273" s="4" t="s">
        <v>299</v>
      </c>
    </row>
    <row r="274" spans="1:10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6">
        <f>VLOOKUP(J274,Лист2!$F:$I,2)</f>
        <v>19</v>
      </c>
      <c r="F274" s="6">
        <f>VLOOKUP(J274,Лист2!$F:$I,3)</f>
        <v>1790</v>
      </c>
      <c r="G274" s="6">
        <f>VLOOKUP(J274,Лист2!$F:$I,4)</f>
        <v>1633</v>
      </c>
      <c r="H274" s="6">
        <f t="shared" si="8"/>
        <v>128191.18421052632</v>
      </c>
      <c r="I274" s="6">
        <f t="shared" si="9"/>
        <v>20</v>
      </c>
      <c r="J274" s="4" t="s">
        <v>300</v>
      </c>
    </row>
    <row r="275" spans="1:10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 s="9">
        <f>VLOOKUP(J275,Лист2!$F:$I,2)</f>
        <v>19</v>
      </c>
      <c r="F275" s="9">
        <f>VLOOKUP(J275,Лист2!$F:$I,3)</f>
        <v>1542</v>
      </c>
      <c r="G275" s="9">
        <f>VLOOKUP(J275,Лист2!$F:$I,4)</f>
        <v>1412</v>
      </c>
      <c r="H275" s="9">
        <f t="shared" si="8"/>
        <v>125523</v>
      </c>
      <c r="I275" s="9">
        <f t="shared" si="9"/>
        <v>19</v>
      </c>
      <c r="J275" s="4" t="s">
        <v>301</v>
      </c>
    </row>
    <row r="276" spans="1:10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6">
        <f>VLOOKUP(J276,Лист2!$F:$I,2)</f>
        <v>19</v>
      </c>
      <c r="F276" s="6">
        <f>VLOOKUP(J276,Лист2!$F:$I,3)</f>
        <v>1479</v>
      </c>
      <c r="G276" s="6">
        <f>VLOOKUP(J276,Лист2!$F:$I,4)</f>
        <v>1346</v>
      </c>
      <c r="H276" s="6">
        <f t="shared" si="8"/>
        <v>113456.21052631579</v>
      </c>
      <c r="I276" s="6">
        <f t="shared" si="9"/>
        <v>19</v>
      </c>
      <c r="J276" s="4" t="s">
        <v>302</v>
      </c>
    </row>
    <row r="277" spans="1:10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 s="9">
        <f>VLOOKUP(J277,Лист2!$F:$I,2)</f>
        <v>19</v>
      </c>
      <c r="F277" s="9">
        <f>VLOOKUP(J277,Лист2!$F:$I,3)</f>
        <v>1206</v>
      </c>
      <c r="G277" s="9">
        <f>VLOOKUP(J277,Лист2!$F:$I,4)</f>
        <v>1080</v>
      </c>
      <c r="H277" s="9">
        <f t="shared" si="8"/>
        <v>88571.131578947374</v>
      </c>
      <c r="I277" s="9">
        <f t="shared" si="9"/>
        <v>18</v>
      </c>
      <c r="J277" s="4" t="s">
        <v>303</v>
      </c>
    </row>
    <row r="278" spans="1:10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6">
        <f>VLOOKUP(J278,Лист2!$F:$I,2)</f>
        <v>20</v>
      </c>
      <c r="F278" s="6">
        <f>VLOOKUP(J278,Лист2!$F:$I,3)</f>
        <v>1814</v>
      </c>
      <c r="G278" s="6">
        <f>VLOOKUP(J278,Лист2!$F:$I,4)</f>
        <v>1655</v>
      </c>
      <c r="H278" s="6">
        <f t="shared" si="8"/>
        <v>120540.15</v>
      </c>
      <c r="I278" s="6">
        <f t="shared" si="9"/>
        <v>22</v>
      </c>
      <c r="J278" s="4" t="s">
        <v>304</v>
      </c>
    </row>
    <row r="279" spans="1:10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 s="9">
        <f>VLOOKUP(J279,Лист2!$F:$I,2)</f>
        <v>19</v>
      </c>
      <c r="F279" s="9">
        <f>VLOOKUP(J279,Лист2!$F:$I,3)</f>
        <v>1987</v>
      </c>
      <c r="G279" s="9">
        <f>VLOOKUP(J279,Лист2!$F:$I,4)</f>
        <v>1791</v>
      </c>
      <c r="H279" s="9">
        <f t="shared" si="8"/>
        <v>166763.68421052632</v>
      </c>
      <c r="I279" s="9">
        <f t="shared" si="9"/>
        <v>18</v>
      </c>
      <c r="J279" s="4" t="s">
        <v>305</v>
      </c>
    </row>
    <row r="280" spans="1:10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6">
        <f>VLOOKUP(J280,Лист2!$F:$I,2)</f>
        <v>19</v>
      </c>
      <c r="F280" s="6">
        <f>VLOOKUP(J280,Лист2!$F:$I,3)</f>
        <v>1598</v>
      </c>
      <c r="G280" s="6">
        <f>VLOOKUP(J280,Лист2!$F:$I,4)</f>
        <v>1454</v>
      </c>
      <c r="H280" s="6">
        <f t="shared" si="8"/>
        <v>118061.05263157895</v>
      </c>
      <c r="I280" s="6">
        <f t="shared" si="9"/>
        <v>20</v>
      </c>
      <c r="J280" s="4" t="s">
        <v>306</v>
      </c>
    </row>
    <row r="281" spans="1:10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 s="9">
        <f>VLOOKUP(J281,Лист2!$F:$I,2)</f>
        <v>19</v>
      </c>
      <c r="F281" s="9">
        <f>VLOOKUP(J281,Лист2!$F:$I,3)</f>
        <v>1650</v>
      </c>
      <c r="G281" s="9">
        <f>VLOOKUP(J281,Лист2!$F:$I,4)</f>
        <v>1505</v>
      </c>
      <c r="H281" s="9">
        <f t="shared" si="8"/>
        <v>115733.44736842105</v>
      </c>
      <c r="I281" s="9">
        <f t="shared" si="9"/>
        <v>21</v>
      </c>
      <c r="J281" s="4" t="s">
        <v>307</v>
      </c>
    </row>
    <row r="282" spans="1:10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6">
        <f>VLOOKUP(J282,Лист2!$F:$I,2)</f>
        <v>19</v>
      </c>
      <c r="F282" s="6">
        <f>VLOOKUP(J282,Лист2!$F:$I,3)</f>
        <v>1823</v>
      </c>
      <c r="G282" s="6">
        <f>VLOOKUP(J282,Лист2!$F:$I,4)</f>
        <v>1678</v>
      </c>
      <c r="H282" s="6">
        <f t="shared" si="8"/>
        <v>132671.52631578947</v>
      </c>
      <c r="I282" s="6">
        <f t="shared" si="9"/>
        <v>21</v>
      </c>
      <c r="J282" s="4" t="s">
        <v>308</v>
      </c>
    </row>
    <row r="283" spans="1:10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 s="9">
        <f>VLOOKUP(J283,Лист2!$F:$I,2)</f>
        <v>19</v>
      </c>
      <c r="F283" s="9">
        <f>VLOOKUP(J283,Лист2!$F:$I,3)</f>
        <v>1622</v>
      </c>
      <c r="G283" s="9">
        <f>VLOOKUP(J283,Лист2!$F:$I,4)</f>
        <v>1482</v>
      </c>
      <c r="H283" s="9">
        <f t="shared" si="8"/>
        <v>125280.71052631579</v>
      </c>
      <c r="I283" s="9">
        <f t="shared" si="9"/>
        <v>19</v>
      </c>
      <c r="J283" s="4" t="s">
        <v>309</v>
      </c>
    </row>
    <row r="284" spans="1:10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6">
        <f>VLOOKUP(J284,Лист2!$F:$I,2)</f>
        <v>19</v>
      </c>
      <c r="F284" s="6">
        <f>VLOOKUP(J284,Лист2!$F:$I,3)</f>
        <v>1605</v>
      </c>
      <c r="G284" s="6">
        <f>VLOOKUP(J284,Лист2!$F:$I,4)</f>
        <v>1447</v>
      </c>
      <c r="H284" s="6">
        <f t="shared" si="8"/>
        <v>119139.55263157895</v>
      </c>
      <c r="I284" s="6">
        <f t="shared" si="9"/>
        <v>20</v>
      </c>
      <c r="J284" s="4" t="s">
        <v>310</v>
      </c>
    </row>
    <row r="285" spans="1:10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 s="9">
        <f>VLOOKUP(J285,Лист2!$F:$I,2)</f>
        <v>16</v>
      </c>
      <c r="F285" s="9">
        <f>VLOOKUP(J285,Лист2!$F:$I,3)</f>
        <v>917</v>
      </c>
      <c r="G285" s="9">
        <f>VLOOKUP(J285,Лист2!$F:$I,4)</f>
        <v>802</v>
      </c>
      <c r="H285" s="9">
        <f t="shared" si="8"/>
        <v>83549.34375</v>
      </c>
      <c r="I285" s="9">
        <f t="shared" si="9"/>
        <v>22</v>
      </c>
      <c r="J285" s="4" t="s">
        <v>311</v>
      </c>
    </row>
    <row r="286" spans="1:10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6">
        <f>VLOOKUP(J286,Лист2!$F:$I,2)</f>
        <v>19</v>
      </c>
      <c r="F286" s="6">
        <f>VLOOKUP(J286,Лист2!$F:$I,3)</f>
        <v>1314</v>
      </c>
      <c r="G286" s="6">
        <f>VLOOKUP(J286,Лист2!$F:$I,4)</f>
        <v>1192</v>
      </c>
      <c r="H286" s="6">
        <f t="shared" si="8"/>
        <v>100345.10526315789</v>
      </c>
      <c r="I286" s="6">
        <f t="shared" si="9"/>
        <v>18</v>
      </c>
      <c r="J286" s="4" t="s">
        <v>312</v>
      </c>
    </row>
    <row r="287" spans="1:10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 s="9">
        <f>VLOOKUP(J287,Лист2!$F:$I,2)</f>
        <v>16</v>
      </c>
      <c r="F287" s="9">
        <f>VLOOKUP(J287,Лист2!$F:$I,3)</f>
        <v>1048</v>
      </c>
      <c r="G287" s="9">
        <f>VLOOKUP(J287,Лист2!$F:$I,4)</f>
        <v>918</v>
      </c>
      <c r="H287" s="9">
        <f t="shared" si="8"/>
        <v>100568.15625</v>
      </c>
      <c r="I287" s="9">
        <f t="shared" si="9"/>
        <v>22</v>
      </c>
      <c r="J287" s="4" t="s">
        <v>313</v>
      </c>
    </row>
    <row r="288" spans="1:10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6">
        <f>VLOOKUP(J288,Лист2!$F:$I,2)</f>
        <v>19</v>
      </c>
      <c r="F288" s="6">
        <f>VLOOKUP(J288,Лист2!$F:$I,3)</f>
        <v>1509</v>
      </c>
      <c r="G288" s="6">
        <f>VLOOKUP(J288,Лист2!$F:$I,4)</f>
        <v>1374</v>
      </c>
      <c r="H288" s="6">
        <f t="shared" si="8"/>
        <v>113650.02631578948</v>
      </c>
      <c r="I288" s="6">
        <f t="shared" si="9"/>
        <v>19</v>
      </c>
      <c r="J288" s="4" t="s">
        <v>314</v>
      </c>
    </row>
    <row r="289" spans="1:10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 s="9">
        <f>VLOOKUP(J289,Лист2!$F:$I,2)</f>
        <v>19</v>
      </c>
      <c r="F289" s="9">
        <f>VLOOKUP(J289,Лист2!$F:$I,3)</f>
        <v>2195</v>
      </c>
      <c r="G289" s="9">
        <f>VLOOKUP(J289,Лист2!$F:$I,4)</f>
        <v>1999</v>
      </c>
      <c r="H289" s="9">
        <f t="shared" si="8"/>
        <v>162586.34210526315</v>
      </c>
      <c r="I289" s="9">
        <f t="shared" si="9"/>
        <v>21</v>
      </c>
      <c r="J289" s="4" t="s">
        <v>315</v>
      </c>
    </row>
    <row r="290" spans="1:10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6">
        <f>VLOOKUP(J290,Лист2!$F:$I,2)</f>
        <v>16</v>
      </c>
      <c r="F290" s="6">
        <f>VLOOKUP(J290,Лист2!$F:$I,3)</f>
        <v>876</v>
      </c>
      <c r="G290" s="6">
        <f>VLOOKUP(J290,Лист2!$F:$I,4)</f>
        <v>762</v>
      </c>
      <c r="H290" s="6">
        <f t="shared" si="8"/>
        <v>77484.1875</v>
      </c>
      <c r="I290" s="6">
        <f t="shared" si="9"/>
        <v>22</v>
      </c>
      <c r="J290" s="4" t="s">
        <v>316</v>
      </c>
    </row>
    <row r="291" spans="1:10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 s="9">
        <f>VLOOKUP(J291,Лист2!$F:$I,2)</f>
        <v>20</v>
      </c>
      <c r="F291" s="9">
        <f>VLOOKUP(J291,Лист2!$F:$I,3)</f>
        <v>1899</v>
      </c>
      <c r="G291" s="9">
        <f>VLOOKUP(J291,Лист2!$F:$I,4)</f>
        <v>1738</v>
      </c>
      <c r="H291" s="9">
        <f t="shared" si="8"/>
        <v>125640.15</v>
      </c>
      <c r="I291" s="9">
        <f t="shared" si="9"/>
        <v>22</v>
      </c>
      <c r="J291" s="4" t="s">
        <v>317</v>
      </c>
    </row>
    <row r="292" spans="1:10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6">
        <f>VLOOKUP(J292,Лист2!$F:$I,2)</f>
        <v>19</v>
      </c>
      <c r="F292" s="6">
        <f>VLOOKUP(J292,Лист2!$F:$I,3)</f>
        <v>1662</v>
      </c>
      <c r="G292" s="6">
        <f>VLOOKUP(J292,Лист2!$F:$I,4)</f>
        <v>1506</v>
      </c>
      <c r="H292" s="6">
        <f t="shared" si="8"/>
        <v>134741.05263157896</v>
      </c>
      <c r="I292" s="6">
        <f t="shared" si="9"/>
        <v>18</v>
      </c>
      <c r="J292" s="4" t="s">
        <v>318</v>
      </c>
    </row>
    <row r="293" spans="1:10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 s="9">
        <f>VLOOKUP(J293,Лист2!$F:$I,2)</f>
        <v>19</v>
      </c>
      <c r="F293" s="9">
        <f>VLOOKUP(J293,Лист2!$F:$I,3)</f>
        <v>1836</v>
      </c>
      <c r="G293" s="9">
        <f>VLOOKUP(J293,Лист2!$F:$I,4)</f>
        <v>1680</v>
      </c>
      <c r="H293" s="9">
        <f t="shared" si="8"/>
        <v>145645.81578947368</v>
      </c>
      <c r="I293" s="9">
        <f t="shared" si="9"/>
        <v>19</v>
      </c>
      <c r="J293" s="4" t="s">
        <v>319</v>
      </c>
    </row>
    <row r="294" spans="1:10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6">
        <f>VLOOKUP(J294,Лист2!$F:$I,2)</f>
        <v>19</v>
      </c>
      <c r="F294" s="6">
        <f>VLOOKUP(J294,Лист2!$F:$I,3)</f>
        <v>1520</v>
      </c>
      <c r="G294" s="6">
        <f>VLOOKUP(J294,Лист2!$F:$I,4)</f>
        <v>1380</v>
      </c>
      <c r="H294" s="6">
        <f t="shared" si="8"/>
        <v>117682.10526315789</v>
      </c>
      <c r="I294" s="6">
        <f t="shared" si="9"/>
        <v>19</v>
      </c>
      <c r="J294" s="4" t="s">
        <v>320</v>
      </c>
    </row>
    <row r="295" spans="1:10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 s="9">
        <f>VLOOKUP(J295,Лист2!$F:$I,2)</f>
        <v>19</v>
      </c>
      <c r="F295" s="9">
        <f>VLOOKUP(J295,Лист2!$F:$I,3)</f>
        <v>1580</v>
      </c>
      <c r="G295" s="9">
        <f>VLOOKUP(J295,Лист2!$F:$I,4)</f>
        <v>1435</v>
      </c>
      <c r="H295" s="9">
        <f t="shared" si="8"/>
        <v>121491.39473684211</v>
      </c>
      <c r="I295" s="9">
        <f t="shared" si="9"/>
        <v>19</v>
      </c>
      <c r="J295" s="4" t="s">
        <v>321</v>
      </c>
    </row>
    <row r="296" spans="1:10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6">
        <f>VLOOKUP(J296,Лист2!$F:$I,2)</f>
        <v>19</v>
      </c>
      <c r="F296" s="6">
        <f>VLOOKUP(J296,Лист2!$F:$I,3)</f>
        <v>1868</v>
      </c>
      <c r="G296" s="6">
        <f>VLOOKUP(J296,Лист2!$F:$I,4)</f>
        <v>1706</v>
      </c>
      <c r="H296" s="6">
        <f t="shared" si="8"/>
        <v>132995.21052631579</v>
      </c>
      <c r="I296" s="6">
        <f t="shared" si="9"/>
        <v>21</v>
      </c>
      <c r="J296" s="4" t="s">
        <v>322</v>
      </c>
    </row>
    <row r="297" spans="1:10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 s="9">
        <f>VLOOKUP(J297,Лист2!$F:$I,2)</f>
        <v>59</v>
      </c>
      <c r="F297" s="9">
        <f>VLOOKUP(J297,Лист2!$F:$I,3)</f>
        <v>13186</v>
      </c>
      <c r="G297" s="9">
        <f>VLOOKUP(J297,Лист2!$F:$I,4)</f>
        <v>12251</v>
      </c>
      <c r="H297" s="9">
        <f t="shared" si="8"/>
        <v>366361.57627118647</v>
      </c>
      <c r="I297" s="9">
        <f t="shared" si="9"/>
        <v>18</v>
      </c>
      <c r="J297" s="4" t="s">
        <v>323</v>
      </c>
    </row>
    <row r="298" spans="1:10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6">
        <f>VLOOKUP(J298,Лист2!$F:$I,2)</f>
        <v>59</v>
      </c>
      <c r="F298" s="6">
        <f>VLOOKUP(J298,Лист2!$F:$I,3)</f>
        <v>12943</v>
      </c>
      <c r="G298" s="6">
        <f>VLOOKUP(J298,Лист2!$F:$I,4)</f>
        <v>12072</v>
      </c>
      <c r="H298" s="6">
        <f t="shared" si="8"/>
        <v>357879.63559322036</v>
      </c>
      <c r="I298" s="6">
        <f t="shared" si="9"/>
        <v>18</v>
      </c>
      <c r="J298" s="4" t="s">
        <v>324</v>
      </c>
    </row>
    <row r="299" spans="1:10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 s="9">
        <f>VLOOKUP(J299,Лист2!$F:$I,2)</f>
        <v>21</v>
      </c>
      <c r="F299" s="9">
        <f>VLOOKUP(J299,Лист2!$F:$I,3)</f>
        <v>2056</v>
      </c>
      <c r="G299" s="9">
        <f>VLOOKUP(J299,Лист2!$F:$I,4)</f>
        <v>1879</v>
      </c>
      <c r="H299" s="9">
        <f t="shared" si="8"/>
        <v>133063.07142857142</v>
      </c>
      <c r="I299" s="9">
        <f t="shared" si="9"/>
        <v>22</v>
      </c>
      <c r="J299" s="4" t="s">
        <v>325</v>
      </c>
    </row>
    <row r="300" spans="1:10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6">
        <f>VLOOKUP(J300,Лист2!$F:$I,2)</f>
        <v>20</v>
      </c>
      <c r="F300" s="6">
        <f>VLOOKUP(J300,Лист2!$F:$I,3)</f>
        <v>2174</v>
      </c>
      <c r="G300" s="6">
        <f>VLOOKUP(J300,Лист2!$F:$I,4)</f>
        <v>1957</v>
      </c>
      <c r="H300" s="6">
        <f t="shared" si="8"/>
        <v>150266.70000000001</v>
      </c>
      <c r="I300" s="6">
        <f t="shared" si="9"/>
        <v>22</v>
      </c>
      <c r="J300" s="4" t="s">
        <v>326</v>
      </c>
    </row>
    <row r="301" spans="1:10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 s="9">
        <f>VLOOKUP(J301,Лист2!$F:$I,2)</f>
        <v>20</v>
      </c>
      <c r="F301" s="9">
        <f>VLOOKUP(J301,Лист2!$F:$I,3)</f>
        <v>1875</v>
      </c>
      <c r="G301" s="9">
        <f>VLOOKUP(J301,Лист2!$F:$I,4)</f>
        <v>1701</v>
      </c>
      <c r="H301" s="9">
        <f t="shared" si="8"/>
        <v>127960.575</v>
      </c>
      <c r="I301" s="9">
        <f t="shared" si="9"/>
        <v>22</v>
      </c>
      <c r="J301" s="4" t="s">
        <v>327</v>
      </c>
    </row>
    <row r="302" spans="1:10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6">
        <f>VLOOKUP(J302,Лист2!$F:$I,2)</f>
        <v>60</v>
      </c>
      <c r="F302" s="6">
        <f>VLOOKUP(J302,Лист2!$F:$I,3)</f>
        <v>14049</v>
      </c>
      <c r="G302" s="6">
        <f>VLOOKUP(J302,Лист2!$F:$I,4)</f>
        <v>13118</v>
      </c>
      <c r="H302" s="6">
        <f t="shared" si="8"/>
        <v>394823.05</v>
      </c>
      <c r="I302" s="6">
        <f t="shared" si="9"/>
        <v>20</v>
      </c>
      <c r="J302" s="4" t="s">
        <v>328</v>
      </c>
    </row>
    <row r="303" spans="1:10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 s="9">
        <f>VLOOKUP(J303,Лист2!$F:$I,2)</f>
        <v>60</v>
      </c>
      <c r="F303" s="9">
        <f>VLOOKUP(J303,Лист2!$F:$I,3)</f>
        <v>13867</v>
      </c>
      <c r="G303" s="9">
        <f>VLOOKUP(J303,Лист2!$F:$I,4)</f>
        <v>12987</v>
      </c>
      <c r="H303" s="9">
        <f t="shared" si="8"/>
        <v>365764.3</v>
      </c>
      <c r="I303" s="9">
        <f t="shared" si="9"/>
        <v>21</v>
      </c>
      <c r="J303" s="4" t="s">
        <v>329</v>
      </c>
    </row>
    <row r="304" spans="1:10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6">
        <f>VLOOKUP(J304,Лист2!$F:$I,2)</f>
        <v>60</v>
      </c>
      <c r="F304" s="6">
        <f>VLOOKUP(J304,Лист2!$F:$I,3)</f>
        <v>11698</v>
      </c>
      <c r="G304" s="6">
        <f>VLOOKUP(J304,Лист2!$F:$I,4)</f>
        <v>10989</v>
      </c>
      <c r="H304" s="6">
        <f t="shared" si="8"/>
        <v>325773.09999999998</v>
      </c>
      <c r="I304" s="6">
        <f t="shared" si="9"/>
        <v>20</v>
      </c>
      <c r="J304" s="4" t="s">
        <v>330</v>
      </c>
    </row>
    <row r="305" spans="1:10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 s="9">
        <f>VLOOKUP(J305,Лист2!$F:$I,2)</f>
        <v>59</v>
      </c>
      <c r="F305" s="9">
        <f>VLOOKUP(J305,Лист2!$F:$I,3)</f>
        <v>12016</v>
      </c>
      <c r="G305" s="9">
        <f>VLOOKUP(J305,Лист2!$F:$I,4)</f>
        <v>11137</v>
      </c>
      <c r="H305" s="9">
        <f t="shared" si="8"/>
        <v>325739.51694915252</v>
      </c>
      <c r="I305" s="9">
        <f t="shared" si="9"/>
        <v>19</v>
      </c>
      <c r="J305" s="4" t="s">
        <v>331</v>
      </c>
    </row>
    <row r="306" spans="1:10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6">
        <f>VLOOKUP(J306,Лист2!$F:$I,2)</f>
        <v>59</v>
      </c>
      <c r="F306" s="6">
        <f>VLOOKUP(J306,Лист2!$F:$I,3)</f>
        <v>14423</v>
      </c>
      <c r="G306" s="6">
        <f>VLOOKUP(J306,Лист2!$F:$I,4)</f>
        <v>13432</v>
      </c>
      <c r="H306" s="6">
        <f t="shared" si="8"/>
        <v>411732.50847457629</v>
      </c>
      <c r="I306" s="6">
        <f t="shared" si="9"/>
        <v>19</v>
      </c>
      <c r="J306" s="4" t="s">
        <v>332</v>
      </c>
    </row>
    <row r="307" spans="1:10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 s="9">
        <f>VLOOKUP(J307,Лист2!$F:$I,2)</f>
        <v>54</v>
      </c>
      <c r="F307" s="9">
        <f>VLOOKUP(J307,Лист2!$F:$I,3)</f>
        <v>12747</v>
      </c>
      <c r="G307" s="9">
        <f>VLOOKUP(J307,Лист2!$F:$I,4)</f>
        <v>11884</v>
      </c>
      <c r="H307" s="9">
        <f t="shared" si="8"/>
        <v>386507.25</v>
      </c>
      <c r="I307" s="9">
        <f t="shared" si="9"/>
        <v>18</v>
      </c>
      <c r="J307" s="4" t="s">
        <v>333</v>
      </c>
    </row>
    <row r="308" spans="1:10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6">
        <f>VLOOKUP(J308,Лист2!$F:$I,2)</f>
        <v>59</v>
      </c>
      <c r="F308" s="6">
        <f>VLOOKUP(J308,Лист2!$F:$I,3)</f>
        <v>12429</v>
      </c>
      <c r="G308" s="6">
        <f>VLOOKUP(J308,Лист2!$F:$I,4)</f>
        <v>11477</v>
      </c>
      <c r="H308" s="6">
        <f t="shared" si="8"/>
        <v>332633.28813559323</v>
      </c>
      <c r="I308" s="6">
        <f t="shared" si="9"/>
        <v>18</v>
      </c>
      <c r="J308" s="4" t="s">
        <v>334</v>
      </c>
    </row>
    <row r="309" spans="1:10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 s="9">
        <f>VLOOKUP(J309,Лист2!$F:$I,2)</f>
        <v>59</v>
      </c>
      <c r="F309" s="9">
        <f>VLOOKUP(J309,Лист2!$F:$I,3)</f>
        <v>15369</v>
      </c>
      <c r="G309" s="9">
        <f>VLOOKUP(J309,Лист2!$F:$I,4)</f>
        <v>14299</v>
      </c>
      <c r="H309" s="9">
        <f t="shared" si="8"/>
        <v>426498.83898305084</v>
      </c>
      <c r="I309" s="9">
        <f t="shared" si="9"/>
        <v>22</v>
      </c>
      <c r="J309" s="4" t="s">
        <v>335</v>
      </c>
    </row>
    <row r="310" spans="1:10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6">
        <f>VLOOKUP(J310,Лист2!$F:$I,2)</f>
        <v>59</v>
      </c>
      <c r="F310" s="6">
        <f>VLOOKUP(J310,Лист2!$F:$I,3)</f>
        <v>15222</v>
      </c>
      <c r="G310" s="6">
        <f>VLOOKUP(J310,Лист2!$F:$I,4)</f>
        <v>13873</v>
      </c>
      <c r="H310" s="6">
        <f t="shared" si="8"/>
        <v>430734.76271186443</v>
      </c>
      <c r="I310" s="6">
        <f t="shared" si="9"/>
        <v>18</v>
      </c>
      <c r="J310" s="4" t="s">
        <v>336</v>
      </c>
    </row>
    <row r="311" spans="1:10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 s="9">
        <f>VLOOKUP(J311,Лист2!$F:$I,2)</f>
        <v>60</v>
      </c>
      <c r="F311" s="9">
        <f>VLOOKUP(J311,Лист2!$F:$I,3)</f>
        <v>12000</v>
      </c>
      <c r="G311" s="9">
        <f>VLOOKUP(J311,Лист2!$F:$I,4)</f>
        <v>11194</v>
      </c>
      <c r="H311" s="9">
        <f t="shared" si="8"/>
        <v>320086.32500000001</v>
      </c>
      <c r="I311" s="9">
        <f t="shared" si="9"/>
        <v>20</v>
      </c>
      <c r="J311" s="4" t="s">
        <v>337</v>
      </c>
    </row>
    <row r="312" spans="1:10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6">
        <f>VLOOKUP(J312,Лист2!$F:$I,2)</f>
        <v>60</v>
      </c>
      <c r="F312" s="6">
        <f>VLOOKUP(J312,Лист2!$F:$I,3)</f>
        <v>14005</v>
      </c>
      <c r="G312" s="6">
        <f>VLOOKUP(J312,Лист2!$F:$I,4)</f>
        <v>13002</v>
      </c>
      <c r="H312" s="6">
        <f t="shared" si="8"/>
        <v>370888.25</v>
      </c>
      <c r="I312" s="6">
        <f t="shared" si="9"/>
        <v>21</v>
      </c>
      <c r="J312" s="4" t="s">
        <v>338</v>
      </c>
    </row>
    <row r="313" spans="1:10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 s="9">
        <f>VLOOKUP(J313,Лист2!$F:$I,2)</f>
        <v>60</v>
      </c>
      <c r="F313" s="9">
        <f>VLOOKUP(J313,Лист2!$F:$I,3)</f>
        <v>13792</v>
      </c>
      <c r="G313" s="9">
        <f>VLOOKUP(J313,Лист2!$F:$I,4)</f>
        <v>12834</v>
      </c>
      <c r="H313" s="9">
        <f t="shared" si="8"/>
        <v>365988.1</v>
      </c>
      <c r="I313" s="9">
        <f t="shared" si="9"/>
        <v>21</v>
      </c>
      <c r="J313" s="4" t="s">
        <v>339</v>
      </c>
    </row>
    <row r="314" spans="1:10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6">
        <f>VLOOKUP(J314,Лист2!$F:$I,2)</f>
        <v>59</v>
      </c>
      <c r="F314" s="6">
        <f>VLOOKUP(J314,Лист2!$F:$I,3)</f>
        <v>13469</v>
      </c>
      <c r="G314" s="6">
        <f>VLOOKUP(J314,Лист2!$F:$I,4)</f>
        <v>12486</v>
      </c>
      <c r="H314" s="6">
        <f t="shared" si="8"/>
        <v>371515.85593220341</v>
      </c>
      <c r="I314" s="6">
        <f t="shared" si="9"/>
        <v>19</v>
      </c>
      <c r="J314" s="4" t="s">
        <v>340</v>
      </c>
    </row>
    <row r="315" spans="1:10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 s="9">
        <f>VLOOKUP(J315,Лист2!$F:$I,2)</f>
        <v>54</v>
      </c>
      <c r="F315" s="9">
        <f>VLOOKUP(J315,Лист2!$F:$I,3)</f>
        <v>12306</v>
      </c>
      <c r="G315" s="9">
        <f>VLOOKUP(J315,Лист2!$F:$I,4)</f>
        <v>11532</v>
      </c>
      <c r="H315" s="9">
        <f t="shared" si="8"/>
        <v>370430.80555555556</v>
      </c>
      <c r="I315" s="9">
        <f t="shared" si="9"/>
        <v>18</v>
      </c>
      <c r="J315" s="4" t="s">
        <v>341</v>
      </c>
    </row>
    <row r="316" spans="1:10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6">
        <f>VLOOKUP(J316,Лист2!$F:$I,2)</f>
        <v>60</v>
      </c>
      <c r="F316" s="6">
        <f>VLOOKUP(J316,Лист2!$F:$I,3)</f>
        <v>12007</v>
      </c>
      <c r="G316" s="6">
        <f>VLOOKUP(J316,Лист2!$F:$I,4)</f>
        <v>11245</v>
      </c>
      <c r="H316" s="6">
        <f t="shared" si="8"/>
        <v>323954.55</v>
      </c>
      <c r="I316" s="6">
        <f t="shared" si="9"/>
        <v>20</v>
      </c>
      <c r="J316" s="4" t="s">
        <v>342</v>
      </c>
    </row>
    <row r="317" spans="1:10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 s="9">
        <f>VLOOKUP(J317,Лист2!$F:$I,2)</f>
        <v>59</v>
      </c>
      <c r="F317" s="9">
        <f>VLOOKUP(J317,Лист2!$F:$I,3)</f>
        <v>15277</v>
      </c>
      <c r="G317" s="9">
        <f>VLOOKUP(J317,Лист2!$F:$I,4)</f>
        <v>14163</v>
      </c>
      <c r="H317" s="9">
        <f t="shared" si="8"/>
        <v>449021.66949152545</v>
      </c>
      <c r="I317" s="9">
        <f t="shared" si="9"/>
        <v>18</v>
      </c>
      <c r="J317" s="4" t="s">
        <v>343</v>
      </c>
    </row>
    <row r="318" spans="1:10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6">
        <f>VLOOKUP(J318,Лист2!$F:$I,2)</f>
        <v>59</v>
      </c>
      <c r="F318" s="6">
        <f>VLOOKUP(J318,Лист2!$F:$I,3)</f>
        <v>14103</v>
      </c>
      <c r="G318" s="6">
        <f>VLOOKUP(J318,Лист2!$F:$I,4)</f>
        <v>13118</v>
      </c>
      <c r="H318" s="6">
        <f t="shared" si="8"/>
        <v>390389.69491525425</v>
      </c>
      <c r="I318" s="6">
        <f t="shared" si="9"/>
        <v>19</v>
      </c>
      <c r="J318" s="4" t="s">
        <v>344</v>
      </c>
    </row>
    <row r="319" spans="1:10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 s="9">
        <f>VLOOKUP(J319,Лист2!$F:$I,2)</f>
        <v>60</v>
      </c>
      <c r="F319" s="9">
        <f>VLOOKUP(J319,Лист2!$F:$I,3)</f>
        <v>17295</v>
      </c>
      <c r="G319" s="9">
        <f>VLOOKUP(J319,Лист2!$F:$I,4)</f>
        <v>16010</v>
      </c>
      <c r="H319" s="9">
        <f t="shared" si="8"/>
        <v>476515.17499999999</v>
      </c>
      <c r="I319" s="9">
        <f t="shared" si="9"/>
        <v>21</v>
      </c>
      <c r="J319" s="4" t="s">
        <v>345</v>
      </c>
    </row>
    <row r="320" spans="1:10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6">
        <f>VLOOKUP(J320,Лист2!$F:$I,2)</f>
        <v>59</v>
      </c>
      <c r="F320" s="6">
        <f>VLOOKUP(J320,Лист2!$F:$I,3)</f>
        <v>12983</v>
      </c>
      <c r="G320" s="6">
        <f>VLOOKUP(J320,Лист2!$F:$I,4)</f>
        <v>12056</v>
      </c>
      <c r="H320" s="6">
        <f t="shared" si="8"/>
        <v>348860.05932203389</v>
      </c>
      <c r="I320" s="6">
        <f t="shared" si="9"/>
        <v>22</v>
      </c>
      <c r="J320" s="4" t="s">
        <v>346</v>
      </c>
    </row>
    <row r="321" spans="1:10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 s="9">
        <f>VLOOKUP(J321,Лист2!$F:$I,2)</f>
        <v>59</v>
      </c>
      <c r="F321" s="9">
        <f>VLOOKUP(J321,Лист2!$F:$I,3)</f>
        <v>13251</v>
      </c>
      <c r="G321" s="9">
        <f>VLOOKUP(J321,Лист2!$F:$I,4)</f>
        <v>12255</v>
      </c>
      <c r="H321" s="9">
        <f t="shared" si="8"/>
        <v>381864.40677966102</v>
      </c>
      <c r="I321" s="9">
        <f t="shared" si="9"/>
        <v>18</v>
      </c>
      <c r="J321" s="4" t="s">
        <v>347</v>
      </c>
    </row>
    <row r="322" spans="1:10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6">
        <f>VLOOKUP(J322,Лист2!$F:$I,2)</f>
        <v>59</v>
      </c>
      <c r="F322" s="6">
        <f>VLOOKUP(J322,Лист2!$F:$I,3)</f>
        <v>14569</v>
      </c>
      <c r="G322" s="6">
        <f>VLOOKUP(J322,Лист2!$F:$I,4)</f>
        <v>13566</v>
      </c>
      <c r="H322" s="6">
        <f t="shared" si="8"/>
        <v>421871.26271186443</v>
      </c>
      <c r="I322" s="6">
        <f t="shared" si="9"/>
        <v>19</v>
      </c>
      <c r="J322" s="4" t="s">
        <v>348</v>
      </c>
    </row>
    <row r="323" spans="1:10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 s="9">
        <f>VLOOKUP(J323,Лист2!$F:$I,2)</f>
        <v>59</v>
      </c>
      <c r="F323" s="9">
        <f>VLOOKUP(J323,Лист2!$F:$I,3)</f>
        <v>14098</v>
      </c>
      <c r="G323" s="9">
        <f>VLOOKUP(J323,Лист2!$F:$I,4)</f>
        <v>13106</v>
      </c>
      <c r="H323" s="9">
        <f t="shared" ref="H323:H386" si="10">D323/E323</f>
        <v>404778.78813559323</v>
      </c>
      <c r="I323" s="9">
        <f t="shared" ref="I323:I386" si="11">WEEKNUM(A323,2)</f>
        <v>19</v>
      </c>
      <c r="J323" s="4" t="s">
        <v>349</v>
      </c>
    </row>
    <row r="324" spans="1:10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6">
        <f>VLOOKUP(J324,Лист2!$F:$I,2)</f>
        <v>59</v>
      </c>
      <c r="F324" s="6">
        <f>VLOOKUP(J324,Лист2!$F:$I,3)</f>
        <v>13495</v>
      </c>
      <c r="G324" s="6">
        <f>VLOOKUP(J324,Лист2!$F:$I,4)</f>
        <v>12517</v>
      </c>
      <c r="H324" s="6">
        <f t="shared" si="10"/>
        <v>380680.16949152545</v>
      </c>
      <c r="I324" s="6">
        <f t="shared" si="11"/>
        <v>19</v>
      </c>
      <c r="J324" s="4" t="s">
        <v>350</v>
      </c>
    </row>
    <row r="325" spans="1:10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 s="9">
        <f>VLOOKUP(J325,Лист2!$F:$I,2)</f>
        <v>60</v>
      </c>
      <c r="F325" s="9">
        <f>VLOOKUP(J325,Лист2!$F:$I,3)</f>
        <v>12822</v>
      </c>
      <c r="G325" s="9">
        <f>VLOOKUP(J325,Лист2!$F:$I,4)</f>
        <v>11916</v>
      </c>
      <c r="H325" s="9">
        <f t="shared" si="10"/>
        <v>332663.34999999998</v>
      </c>
      <c r="I325" s="9">
        <f t="shared" si="11"/>
        <v>21</v>
      </c>
      <c r="J325" s="4" t="s">
        <v>351</v>
      </c>
    </row>
    <row r="326" spans="1:10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6">
        <f>VLOOKUP(J326,Лист2!$F:$I,2)</f>
        <v>54</v>
      </c>
      <c r="F326" s="6">
        <f>VLOOKUP(J326,Лист2!$F:$I,3)</f>
        <v>13170</v>
      </c>
      <c r="G326" s="6">
        <f>VLOOKUP(J326,Лист2!$F:$I,4)</f>
        <v>12299</v>
      </c>
      <c r="H326" s="6">
        <f t="shared" si="10"/>
        <v>413987.75</v>
      </c>
      <c r="I326" s="6">
        <f t="shared" si="11"/>
        <v>20</v>
      </c>
      <c r="J326" s="4" t="s">
        <v>352</v>
      </c>
    </row>
    <row r="327" spans="1:10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 s="9">
        <f>VLOOKUP(J327,Лист2!$F:$I,2)</f>
        <v>54</v>
      </c>
      <c r="F327" s="9">
        <f>VLOOKUP(J327,Лист2!$F:$I,3)</f>
        <v>13070</v>
      </c>
      <c r="G327" s="9">
        <f>VLOOKUP(J327,Лист2!$F:$I,4)</f>
        <v>12244</v>
      </c>
      <c r="H327" s="9">
        <f t="shared" si="10"/>
        <v>381297.63888888888</v>
      </c>
      <c r="I327" s="9">
        <f t="shared" si="11"/>
        <v>21</v>
      </c>
      <c r="J327" s="4" t="s">
        <v>353</v>
      </c>
    </row>
    <row r="328" spans="1:10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6">
        <f>VLOOKUP(J328,Лист2!$F:$I,2)</f>
        <v>54</v>
      </c>
      <c r="F328" s="6">
        <f>VLOOKUP(J328,Лист2!$F:$I,3)</f>
        <v>11128</v>
      </c>
      <c r="G328" s="6">
        <f>VLOOKUP(J328,Лист2!$F:$I,4)</f>
        <v>10467</v>
      </c>
      <c r="H328" s="6">
        <f t="shared" si="10"/>
        <v>341649.83333333331</v>
      </c>
      <c r="I328" s="6">
        <f t="shared" si="11"/>
        <v>20</v>
      </c>
      <c r="J328" s="4" t="s">
        <v>354</v>
      </c>
    </row>
    <row r="329" spans="1:10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 s="9">
        <f>VLOOKUP(J329,Лист2!$F:$I,2)</f>
        <v>54</v>
      </c>
      <c r="F329" s="9">
        <f>VLOOKUP(J329,Лист2!$F:$I,3)</f>
        <v>11288</v>
      </c>
      <c r="G329" s="9">
        <f>VLOOKUP(J329,Лист2!$F:$I,4)</f>
        <v>10492</v>
      </c>
      <c r="H329" s="9">
        <f t="shared" si="10"/>
        <v>334922.19444444444</v>
      </c>
      <c r="I329" s="9">
        <f t="shared" si="11"/>
        <v>19</v>
      </c>
      <c r="J329" s="4" t="s">
        <v>355</v>
      </c>
    </row>
    <row r="330" spans="1:10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6">
        <f>VLOOKUP(J330,Лист2!$F:$I,2)</f>
        <v>54</v>
      </c>
      <c r="F330" s="6">
        <f>VLOOKUP(J330,Лист2!$F:$I,3)</f>
        <v>13606</v>
      </c>
      <c r="G330" s="6">
        <f>VLOOKUP(J330,Лист2!$F:$I,4)</f>
        <v>12697</v>
      </c>
      <c r="H330" s="6">
        <f t="shared" si="10"/>
        <v>422163.47222222225</v>
      </c>
      <c r="I330" s="6">
        <f t="shared" si="11"/>
        <v>19</v>
      </c>
      <c r="J330" s="4" t="s">
        <v>356</v>
      </c>
    </row>
    <row r="331" spans="1:10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 s="9">
        <f>VLOOKUP(J331,Лист2!$F:$I,2)</f>
        <v>54</v>
      </c>
      <c r="F331" s="9">
        <f>VLOOKUP(J331,Лист2!$F:$I,3)</f>
        <v>11622</v>
      </c>
      <c r="G331" s="9">
        <f>VLOOKUP(J331,Лист2!$F:$I,4)</f>
        <v>10754</v>
      </c>
      <c r="H331" s="9">
        <f t="shared" si="10"/>
        <v>344924.47222222225</v>
      </c>
      <c r="I331" s="9">
        <f t="shared" si="11"/>
        <v>18</v>
      </c>
      <c r="J331" s="4" t="s">
        <v>357</v>
      </c>
    </row>
    <row r="332" spans="1:10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6">
        <f>VLOOKUP(J332,Лист2!$F:$I,2)</f>
        <v>54</v>
      </c>
      <c r="F332" s="6">
        <f>VLOOKUP(J332,Лист2!$F:$I,3)</f>
        <v>14482</v>
      </c>
      <c r="G332" s="6">
        <f>VLOOKUP(J332,Лист2!$F:$I,4)</f>
        <v>13510</v>
      </c>
      <c r="H332" s="6">
        <f t="shared" si="10"/>
        <v>441784.16666666669</v>
      </c>
      <c r="I332" s="6">
        <f t="shared" si="11"/>
        <v>22</v>
      </c>
      <c r="J332" s="4" t="s">
        <v>358</v>
      </c>
    </row>
    <row r="333" spans="1:10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 s="9">
        <f>VLOOKUP(J333,Лист2!$F:$I,2)</f>
        <v>54</v>
      </c>
      <c r="F333" s="9">
        <f>VLOOKUP(J333,Лист2!$F:$I,3)</f>
        <v>14205</v>
      </c>
      <c r="G333" s="9">
        <f>VLOOKUP(J333,Лист2!$F:$I,4)</f>
        <v>13026</v>
      </c>
      <c r="H333" s="9">
        <f t="shared" si="10"/>
        <v>443584</v>
      </c>
      <c r="I333" s="9">
        <f t="shared" si="11"/>
        <v>18</v>
      </c>
      <c r="J333" s="4" t="s">
        <v>359</v>
      </c>
    </row>
    <row r="334" spans="1:10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6">
        <f>VLOOKUP(J334,Лист2!$F:$I,2)</f>
        <v>54</v>
      </c>
      <c r="F334" s="6">
        <f>VLOOKUP(J334,Лист2!$F:$I,3)</f>
        <v>11614</v>
      </c>
      <c r="G334" s="6">
        <f>VLOOKUP(J334,Лист2!$F:$I,4)</f>
        <v>10862</v>
      </c>
      <c r="H334" s="6">
        <f t="shared" si="10"/>
        <v>346630.30555555556</v>
      </c>
      <c r="I334" s="6">
        <f t="shared" si="11"/>
        <v>20</v>
      </c>
      <c r="J334" s="4" t="s">
        <v>360</v>
      </c>
    </row>
    <row r="335" spans="1:10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 s="9">
        <f>VLOOKUP(J335,Лист2!$F:$I,2)</f>
        <v>54</v>
      </c>
      <c r="F335" s="9">
        <f>VLOOKUP(J335,Лист2!$F:$I,3)</f>
        <v>13240</v>
      </c>
      <c r="G335" s="9">
        <f>VLOOKUP(J335,Лист2!$F:$I,4)</f>
        <v>12360</v>
      </c>
      <c r="H335" s="9">
        <f t="shared" si="10"/>
        <v>389679.13888888888</v>
      </c>
      <c r="I335" s="9">
        <f t="shared" si="11"/>
        <v>21</v>
      </c>
      <c r="J335" s="4" t="s">
        <v>361</v>
      </c>
    </row>
    <row r="336" spans="1:10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6">
        <f>VLOOKUP(J336,Лист2!$F:$I,2)</f>
        <v>54</v>
      </c>
      <c r="F336" s="6">
        <f>VLOOKUP(J336,Лист2!$F:$I,3)</f>
        <v>13298</v>
      </c>
      <c r="G336" s="6">
        <f>VLOOKUP(J336,Лист2!$F:$I,4)</f>
        <v>12428</v>
      </c>
      <c r="H336" s="6">
        <f t="shared" si="10"/>
        <v>396506.47222222225</v>
      </c>
      <c r="I336" s="6">
        <f t="shared" si="11"/>
        <v>21</v>
      </c>
      <c r="J336" s="4" t="s">
        <v>362</v>
      </c>
    </row>
    <row r="337" spans="1:10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 s="9">
        <f>VLOOKUP(J337,Лист2!$F:$I,2)</f>
        <v>54</v>
      </c>
      <c r="F337" s="9">
        <f>VLOOKUP(J337,Лист2!$F:$I,3)</f>
        <v>12775</v>
      </c>
      <c r="G337" s="9">
        <f>VLOOKUP(J337,Лист2!$F:$I,4)</f>
        <v>11887</v>
      </c>
      <c r="H337" s="9">
        <f t="shared" si="10"/>
        <v>386669.30555555556</v>
      </c>
      <c r="I337" s="9">
        <f t="shared" si="11"/>
        <v>19</v>
      </c>
      <c r="J337" s="4" t="s">
        <v>363</v>
      </c>
    </row>
    <row r="338" spans="1:10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6">
        <f>VLOOKUP(J338,Лист2!$F:$I,2)</f>
        <v>54</v>
      </c>
      <c r="F338" s="6">
        <f>VLOOKUP(J338,Лист2!$F:$I,3)</f>
        <v>11522</v>
      </c>
      <c r="G338" s="6">
        <f>VLOOKUP(J338,Лист2!$F:$I,4)</f>
        <v>10803</v>
      </c>
      <c r="H338" s="6">
        <f t="shared" si="10"/>
        <v>347851.86111111112</v>
      </c>
      <c r="I338" s="6">
        <f t="shared" si="11"/>
        <v>20</v>
      </c>
      <c r="J338" s="4" t="s">
        <v>364</v>
      </c>
    </row>
    <row r="339" spans="1:10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 s="9">
        <f>VLOOKUP(J339,Лист2!$F:$I,2)</f>
        <v>59</v>
      </c>
      <c r="F339" s="9">
        <f>VLOOKUP(J339,Лист2!$F:$I,3)</f>
        <v>13684</v>
      </c>
      <c r="G339" s="9">
        <f>VLOOKUP(J339,Лист2!$F:$I,4)</f>
        <v>12690</v>
      </c>
      <c r="H339" s="9">
        <f t="shared" si="10"/>
        <v>365852.82203389832</v>
      </c>
      <c r="I339" s="9">
        <f t="shared" si="11"/>
        <v>22</v>
      </c>
      <c r="J339" s="4" t="s">
        <v>365</v>
      </c>
    </row>
    <row r="340" spans="1:10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6">
        <f>VLOOKUP(J340,Лист2!$F:$I,2)</f>
        <v>54</v>
      </c>
      <c r="F340" s="6">
        <f>VLOOKUP(J340,Лист2!$F:$I,3)</f>
        <v>14823</v>
      </c>
      <c r="G340" s="6">
        <f>VLOOKUP(J340,Лист2!$F:$I,4)</f>
        <v>13751</v>
      </c>
      <c r="H340" s="6">
        <f t="shared" si="10"/>
        <v>472575.41666666669</v>
      </c>
      <c r="I340" s="6">
        <f t="shared" si="11"/>
        <v>18</v>
      </c>
      <c r="J340" s="4" t="s">
        <v>366</v>
      </c>
    </row>
    <row r="341" spans="1:10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 s="9">
        <f>VLOOKUP(J341,Лист2!$F:$I,2)</f>
        <v>59</v>
      </c>
      <c r="F341" s="9">
        <f>VLOOKUP(J341,Лист2!$F:$I,3)</f>
        <v>15030</v>
      </c>
      <c r="G341" s="9">
        <f>VLOOKUP(J341,Лист2!$F:$I,4)</f>
        <v>13956</v>
      </c>
      <c r="H341" s="9">
        <f t="shared" si="10"/>
        <v>415716.0254237288</v>
      </c>
      <c r="I341" s="9">
        <f t="shared" si="11"/>
        <v>22</v>
      </c>
      <c r="J341" s="4" t="s">
        <v>367</v>
      </c>
    </row>
    <row r="342" spans="1:10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6">
        <f>VLOOKUP(J342,Лист2!$F:$I,2)</f>
        <v>54</v>
      </c>
      <c r="F342" s="6">
        <f>VLOOKUP(J342,Лист2!$F:$I,3)</f>
        <v>13406</v>
      </c>
      <c r="G342" s="6">
        <f>VLOOKUP(J342,Лист2!$F:$I,4)</f>
        <v>12518</v>
      </c>
      <c r="H342" s="6">
        <f t="shared" si="10"/>
        <v>409748.97222222225</v>
      </c>
      <c r="I342" s="6">
        <f t="shared" si="11"/>
        <v>19</v>
      </c>
      <c r="J342" s="4" t="s">
        <v>368</v>
      </c>
    </row>
    <row r="343" spans="1:10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 s="9">
        <f>VLOOKUP(J343,Лист2!$F:$I,2)</f>
        <v>54</v>
      </c>
      <c r="F343" s="9">
        <f>VLOOKUP(J343,Лист2!$F:$I,3)</f>
        <v>16221</v>
      </c>
      <c r="G343" s="9">
        <f>VLOOKUP(J343,Лист2!$F:$I,4)</f>
        <v>15065</v>
      </c>
      <c r="H343" s="9">
        <f t="shared" si="10"/>
        <v>496419</v>
      </c>
      <c r="I343" s="9">
        <f t="shared" si="11"/>
        <v>21</v>
      </c>
      <c r="J343" s="4" t="s">
        <v>369</v>
      </c>
    </row>
    <row r="344" spans="1:10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6">
        <f>VLOOKUP(J344,Лист2!$F:$I,2)</f>
        <v>60</v>
      </c>
      <c r="F344" s="6">
        <f>VLOOKUP(J344,Лист2!$F:$I,3)</f>
        <v>12854</v>
      </c>
      <c r="G344" s="6">
        <f>VLOOKUP(J344,Лист2!$F:$I,4)</f>
        <v>11954</v>
      </c>
      <c r="H344" s="6">
        <f t="shared" si="10"/>
        <v>342262.22499999998</v>
      </c>
      <c r="I344" s="6">
        <f t="shared" si="11"/>
        <v>22</v>
      </c>
      <c r="J344" s="4" t="s">
        <v>370</v>
      </c>
    </row>
    <row r="345" spans="1:10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 s="9">
        <f>VLOOKUP(J345,Лист2!$F:$I,2)</f>
        <v>54</v>
      </c>
      <c r="F345" s="9">
        <f>VLOOKUP(J345,Лист2!$F:$I,3)</f>
        <v>12336</v>
      </c>
      <c r="G345" s="9">
        <f>VLOOKUP(J345,Лист2!$F:$I,4)</f>
        <v>11519</v>
      </c>
      <c r="H345" s="9">
        <f t="shared" si="10"/>
        <v>366794.94444444444</v>
      </c>
      <c r="I345" s="9">
        <f t="shared" si="11"/>
        <v>22</v>
      </c>
      <c r="J345" s="4" t="s">
        <v>371</v>
      </c>
    </row>
    <row r="346" spans="1:10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6">
        <f>VLOOKUP(J346,Лист2!$F:$I,2)</f>
        <v>54</v>
      </c>
      <c r="F346" s="6">
        <f>VLOOKUP(J346,Лист2!$F:$I,3)</f>
        <v>12817</v>
      </c>
      <c r="G346" s="6">
        <f>VLOOKUP(J346,Лист2!$F:$I,4)</f>
        <v>11865</v>
      </c>
      <c r="H346" s="6">
        <f t="shared" si="10"/>
        <v>402601.11111111112</v>
      </c>
      <c r="I346" s="6">
        <f t="shared" si="11"/>
        <v>18</v>
      </c>
      <c r="J346" s="4" t="s">
        <v>372</v>
      </c>
    </row>
    <row r="347" spans="1:10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 s="9">
        <f>VLOOKUP(J347,Лист2!$F:$I,2)</f>
        <v>54</v>
      </c>
      <c r="F347" s="9">
        <f>VLOOKUP(J347,Лист2!$F:$I,3)</f>
        <v>13832</v>
      </c>
      <c r="G347" s="9">
        <f>VLOOKUP(J347,Лист2!$F:$I,4)</f>
        <v>12864</v>
      </c>
      <c r="H347" s="9">
        <f t="shared" si="10"/>
        <v>434143.05555555556</v>
      </c>
      <c r="I347" s="9">
        <f t="shared" si="11"/>
        <v>19</v>
      </c>
      <c r="J347" s="4" t="s">
        <v>373</v>
      </c>
    </row>
    <row r="348" spans="1:10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6">
        <f>VLOOKUP(J348,Лист2!$F:$I,2)</f>
        <v>54</v>
      </c>
      <c r="F348" s="6">
        <f>VLOOKUP(J348,Лист2!$F:$I,3)</f>
        <v>13563</v>
      </c>
      <c r="G348" s="6">
        <f>VLOOKUP(J348,Лист2!$F:$I,4)</f>
        <v>12604</v>
      </c>
      <c r="H348" s="6">
        <f t="shared" si="10"/>
        <v>423075.52777777775</v>
      </c>
      <c r="I348" s="6">
        <f t="shared" si="11"/>
        <v>19</v>
      </c>
      <c r="J348" s="4" t="s">
        <v>374</v>
      </c>
    </row>
    <row r="349" spans="1:10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 s="9">
        <f>VLOOKUP(J349,Лист2!$F:$I,2)</f>
        <v>54</v>
      </c>
      <c r="F349" s="9">
        <f>VLOOKUP(J349,Лист2!$F:$I,3)</f>
        <v>12743</v>
      </c>
      <c r="G349" s="9">
        <f>VLOOKUP(J349,Лист2!$F:$I,4)</f>
        <v>11858</v>
      </c>
      <c r="H349" s="9">
        <f t="shared" si="10"/>
        <v>397463.38888888888</v>
      </c>
      <c r="I349" s="9">
        <f t="shared" si="11"/>
        <v>19</v>
      </c>
      <c r="J349" s="4" t="s">
        <v>375</v>
      </c>
    </row>
    <row r="350" spans="1:10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6">
        <f>VLOOKUP(J350,Лист2!$F:$I,2)</f>
        <v>54</v>
      </c>
      <c r="F350" s="6">
        <f>VLOOKUP(J350,Лист2!$F:$I,3)</f>
        <v>12211</v>
      </c>
      <c r="G350" s="6">
        <f>VLOOKUP(J350,Лист2!$F:$I,4)</f>
        <v>11427</v>
      </c>
      <c r="H350" s="6">
        <f t="shared" si="10"/>
        <v>353168.83333333331</v>
      </c>
      <c r="I350" s="6">
        <f t="shared" si="11"/>
        <v>21</v>
      </c>
      <c r="J350" s="4" t="s">
        <v>376</v>
      </c>
    </row>
    <row r="351" spans="1:10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 s="9">
        <f>VLOOKUP(J351,Лист2!$F:$I,2)</f>
        <v>15</v>
      </c>
      <c r="F351" s="9">
        <f>VLOOKUP(J351,Лист2!$F:$I,3)</f>
        <v>659</v>
      </c>
      <c r="G351" s="9">
        <f>VLOOKUP(J351,Лист2!$F:$I,4)</f>
        <v>575</v>
      </c>
      <c r="H351" s="9">
        <f t="shared" si="10"/>
        <v>65434.6</v>
      </c>
      <c r="I351" s="9">
        <f t="shared" si="11"/>
        <v>18</v>
      </c>
      <c r="J351" s="4" t="s">
        <v>377</v>
      </c>
    </row>
    <row r="352" spans="1:10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6">
        <f>VLOOKUP(J352,Лист2!$F:$I,2)</f>
        <v>15</v>
      </c>
      <c r="F352" s="6">
        <f>VLOOKUP(J352,Лист2!$F:$I,3)</f>
        <v>636</v>
      </c>
      <c r="G352" s="6">
        <f>VLOOKUP(J352,Лист2!$F:$I,4)</f>
        <v>547</v>
      </c>
      <c r="H352" s="6">
        <f t="shared" si="10"/>
        <v>66169.399999999994</v>
      </c>
      <c r="I352" s="6">
        <f t="shared" si="11"/>
        <v>18</v>
      </c>
      <c r="J352" s="4" t="s">
        <v>378</v>
      </c>
    </row>
    <row r="353" spans="1:10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 s="9">
        <f>VLOOKUP(J353,Лист2!$F:$I,2)</f>
        <v>54</v>
      </c>
      <c r="F353" s="9">
        <f>VLOOKUP(J353,Лист2!$F:$I,3)</f>
        <v>13106</v>
      </c>
      <c r="G353" s="9">
        <f>VLOOKUP(J353,Лист2!$F:$I,4)</f>
        <v>12164</v>
      </c>
      <c r="H353" s="9">
        <f t="shared" si="10"/>
        <v>383652.75</v>
      </c>
      <c r="I353" s="9">
        <f t="shared" si="11"/>
        <v>22</v>
      </c>
      <c r="J353" s="4" t="s">
        <v>379</v>
      </c>
    </row>
    <row r="354" spans="1:10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6">
        <f>VLOOKUP(J354,Лист2!$F:$I,2)</f>
        <v>54</v>
      </c>
      <c r="F354" s="6">
        <f>VLOOKUP(J354,Лист2!$F:$I,3)</f>
        <v>14590</v>
      </c>
      <c r="G354" s="6">
        <f>VLOOKUP(J354,Лист2!$F:$I,4)</f>
        <v>13551</v>
      </c>
      <c r="H354" s="6">
        <f t="shared" si="10"/>
        <v>447258.88888888888</v>
      </c>
      <c r="I354" s="6">
        <f t="shared" si="11"/>
        <v>22</v>
      </c>
      <c r="J354" s="4" t="s">
        <v>380</v>
      </c>
    </row>
    <row r="355" spans="1:10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 s="9">
        <f>VLOOKUP(J355,Лист2!$F:$I,2)</f>
        <v>54</v>
      </c>
      <c r="F355" s="9">
        <f>VLOOKUP(J355,Лист2!$F:$I,3)</f>
        <v>12409</v>
      </c>
      <c r="G355" s="9">
        <f>VLOOKUP(J355,Лист2!$F:$I,4)</f>
        <v>11582</v>
      </c>
      <c r="H355" s="9">
        <f t="shared" si="10"/>
        <v>362019.19444444444</v>
      </c>
      <c r="I355" s="9">
        <f t="shared" si="11"/>
        <v>22</v>
      </c>
      <c r="J355" s="4" t="s">
        <v>381</v>
      </c>
    </row>
    <row r="356" spans="1:10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6">
        <f>VLOOKUP(J356,Лист2!$F:$I,2)</f>
        <v>16</v>
      </c>
      <c r="F356" s="6">
        <f>VLOOKUP(J356,Лист2!$F:$I,3)</f>
        <v>920</v>
      </c>
      <c r="G356" s="6">
        <f>VLOOKUP(J356,Лист2!$F:$I,4)</f>
        <v>818</v>
      </c>
      <c r="H356" s="6">
        <f t="shared" si="10"/>
        <v>82271.90625</v>
      </c>
      <c r="I356" s="6">
        <f t="shared" si="11"/>
        <v>20</v>
      </c>
      <c r="J356" s="4" t="s">
        <v>382</v>
      </c>
    </row>
    <row r="357" spans="1:10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 s="9">
        <f>VLOOKUP(J357,Лист2!$F:$I,2)</f>
        <v>17</v>
      </c>
      <c r="F357" s="9">
        <f>VLOOKUP(J357,Лист2!$F:$I,3)</f>
        <v>857</v>
      </c>
      <c r="G357" s="9">
        <f>VLOOKUP(J357,Лист2!$F:$I,4)</f>
        <v>757</v>
      </c>
      <c r="H357" s="9">
        <f t="shared" si="10"/>
        <v>66282.970588235301</v>
      </c>
      <c r="I357" s="9">
        <f t="shared" si="11"/>
        <v>21</v>
      </c>
      <c r="J357" s="4" t="s">
        <v>383</v>
      </c>
    </row>
    <row r="358" spans="1:10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6">
        <f>VLOOKUP(J358,Лист2!$F:$I,2)</f>
        <v>16</v>
      </c>
      <c r="F358" s="6">
        <f>VLOOKUP(J358,Лист2!$F:$I,3)</f>
        <v>859</v>
      </c>
      <c r="G358" s="6">
        <f>VLOOKUP(J358,Лист2!$F:$I,4)</f>
        <v>746</v>
      </c>
      <c r="H358" s="6">
        <f t="shared" si="10"/>
        <v>72345.5625</v>
      </c>
      <c r="I358" s="6">
        <f t="shared" si="11"/>
        <v>20</v>
      </c>
      <c r="J358" s="4" t="s">
        <v>384</v>
      </c>
    </row>
    <row r="359" spans="1:10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 s="9">
        <f>VLOOKUP(J359,Лист2!$F:$I,2)</f>
        <v>15</v>
      </c>
      <c r="F359" s="9">
        <f>VLOOKUP(J359,Лист2!$F:$I,3)</f>
        <v>654</v>
      </c>
      <c r="G359" s="9">
        <f>VLOOKUP(J359,Лист2!$F:$I,4)</f>
        <v>570</v>
      </c>
      <c r="H359" s="9">
        <f t="shared" si="10"/>
        <v>63720.1</v>
      </c>
      <c r="I359" s="9">
        <f t="shared" si="11"/>
        <v>19</v>
      </c>
      <c r="J359" s="4" t="s">
        <v>385</v>
      </c>
    </row>
    <row r="360" spans="1:10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6">
        <f>VLOOKUP(J360,Лист2!$F:$I,2)</f>
        <v>15</v>
      </c>
      <c r="F360" s="6">
        <f>VLOOKUP(J360,Лист2!$F:$I,3)</f>
        <v>622</v>
      </c>
      <c r="G360" s="6">
        <f>VLOOKUP(J360,Лист2!$F:$I,4)</f>
        <v>538</v>
      </c>
      <c r="H360" s="6">
        <f t="shared" si="10"/>
        <v>60422.9</v>
      </c>
      <c r="I360" s="6">
        <f t="shared" si="11"/>
        <v>19</v>
      </c>
      <c r="J360" s="4" t="s">
        <v>386</v>
      </c>
    </row>
    <row r="361" spans="1:10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 s="9">
        <f>VLOOKUP(J361,Лист2!$F:$I,2)</f>
        <v>15</v>
      </c>
      <c r="F361" s="9">
        <f>VLOOKUP(J361,Лист2!$F:$I,3)</f>
        <v>567</v>
      </c>
      <c r="G361" s="9">
        <f>VLOOKUP(J361,Лист2!$F:$I,4)</f>
        <v>493</v>
      </c>
      <c r="H361" s="9">
        <f t="shared" si="10"/>
        <v>54457.3</v>
      </c>
      <c r="I361" s="9">
        <f t="shared" si="11"/>
        <v>18</v>
      </c>
      <c r="J361" s="4" t="s">
        <v>387</v>
      </c>
    </row>
    <row r="362" spans="1:10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6">
        <f>VLOOKUP(J362,Лист2!$F:$I,2)</f>
        <v>7</v>
      </c>
      <c r="F362" s="6">
        <f>VLOOKUP(J362,Лист2!$F:$I,3)</f>
        <v>577</v>
      </c>
      <c r="G362" s="6">
        <f>VLOOKUP(J362,Лист2!$F:$I,4)</f>
        <v>389</v>
      </c>
      <c r="H362" s="6">
        <f t="shared" si="10"/>
        <v>119116.5</v>
      </c>
      <c r="I362" s="6">
        <f t="shared" si="11"/>
        <v>22</v>
      </c>
      <c r="J362" s="4" t="s">
        <v>388</v>
      </c>
    </row>
    <row r="363" spans="1:10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 s="9">
        <f>VLOOKUP(J363,Лист2!$F:$I,2)</f>
        <v>15</v>
      </c>
      <c r="F363" s="9">
        <f>VLOOKUP(J363,Лист2!$F:$I,3)</f>
        <v>721</v>
      </c>
      <c r="G363" s="9">
        <f>VLOOKUP(J363,Лист2!$F:$I,4)</f>
        <v>625</v>
      </c>
      <c r="H363" s="9">
        <f t="shared" si="10"/>
        <v>75629.600000000006</v>
      </c>
      <c r="I363" s="9">
        <f t="shared" si="11"/>
        <v>18</v>
      </c>
      <c r="J363" s="4" t="s">
        <v>389</v>
      </c>
    </row>
    <row r="364" spans="1:10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6">
        <f>VLOOKUP(J364,Лист2!$F:$I,2)</f>
        <v>15</v>
      </c>
      <c r="F364" s="6">
        <f>VLOOKUP(J364,Лист2!$F:$I,3)</f>
        <v>750</v>
      </c>
      <c r="G364" s="6">
        <f>VLOOKUP(J364,Лист2!$F:$I,4)</f>
        <v>659</v>
      </c>
      <c r="H364" s="6">
        <f t="shared" si="10"/>
        <v>72818.5</v>
      </c>
      <c r="I364" s="6">
        <f t="shared" si="11"/>
        <v>20</v>
      </c>
      <c r="J364" s="4" t="s">
        <v>390</v>
      </c>
    </row>
    <row r="365" spans="1:10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 s="9">
        <f>VLOOKUP(J365,Лист2!$F:$I,2)</f>
        <v>18</v>
      </c>
      <c r="F365" s="9">
        <f>VLOOKUP(J365,Лист2!$F:$I,3)</f>
        <v>888</v>
      </c>
      <c r="G365" s="9">
        <f>VLOOKUP(J365,Лист2!$F:$I,4)</f>
        <v>786</v>
      </c>
      <c r="H365" s="9">
        <f t="shared" si="10"/>
        <v>65143</v>
      </c>
      <c r="I365" s="9">
        <f t="shared" si="11"/>
        <v>21</v>
      </c>
      <c r="J365" s="4" t="s">
        <v>391</v>
      </c>
    </row>
    <row r="366" spans="1:10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6">
        <f>VLOOKUP(J366,Лист2!$F:$I,2)</f>
        <v>17</v>
      </c>
      <c r="F366" s="6">
        <f>VLOOKUP(J366,Лист2!$F:$I,3)</f>
        <v>890</v>
      </c>
      <c r="G366" s="6">
        <f>VLOOKUP(J366,Лист2!$F:$I,4)</f>
        <v>794</v>
      </c>
      <c r="H366" s="6">
        <f t="shared" si="10"/>
        <v>71632.323529411762</v>
      </c>
      <c r="I366" s="6">
        <f t="shared" si="11"/>
        <v>21</v>
      </c>
      <c r="J366" s="4" t="s">
        <v>392</v>
      </c>
    </row>
    <row r="367" spans="1:10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 s="9">
        <f>VLOOKUP(J367,Лист2!$F:$I,2)</f>
        <v>15</v>
      </c>
      <c r="F367" s="9">
        <f>VLOOKUP(J367,Лист2!$F:$I,3)</f>
        <v>750</v>
      </c>
      <c r="G367" s="9">
        <f>VLOOKUP(J367,Лист2!$F:$I,4)</f>
        <v>658</v>
      </c>
      <c r="H367" s="9">
        <f t="shared" si="10"/>
        <v>76371.7</v>
      </c>
      <c r="I367" s="9">
        <f t="shared" si="11"/>
        <v>19</v>
      </c>
      <c r="J367" s="4" t="s">
        <v>393</v>
      </c>
    </row>
    <row r="368" spans="1:10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6">
        <f>VLOOKUP(J368,Лист2!$F:$I,2)</f>
        <v>15</v>
      </c>
      <c r="F368" s="6">
        <f>VLOOKUP(J368,Лист2!$F:$I,3)</f>
        <v>854</v>
      </c>
      <c r="G368" s="6">
        <f>VLOOKUP(J368,Лист2!$F:$I,4)</f>
        <v>756</v>
      </c>
      <c r="H368" s="6">
        <f t="shared" si="10"/>
        <v>78179.399999999994</v>
      </c>
      <c r="I368" s="6">
        <f t="shared" si="11"/>
        <v>20</v>
      </c>
      <c r="J368" s="4" t="s">
        <v>394</v>
      </c>
    </row>
    <row r="369" spans="1:10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 s="9">
        <f>VLOOKUP(J369,Лист2!$F:$I,2)</f>
        <v>15</v>
      </c>
      <c r="F369" s="9">
        <f>VLOOKUP(J369,Лист2!$F:$I,3)</f>
        <v>585</v>
      </c>
      <c r="G369" s="9">
        <f>VLOOKUP(J369,Лист2!$F:$I,4)</f>
        <v>502</v>
      </c>
      <c r="H369" s="9">
        <f t="shared" si="10"/>
        <v>54410</v>
      </c>
      <c r="I369" s="9">
        <f t="shared" si="11"/>
        <v>18</v>
      </c>
      <c r="J369" s="4" t="s">
        <v>395</v>
      </c>
    </row>
    <row r="370" spans="1:10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6">
        <f>VLOOKUP(J370,Лист2!$F:$I,2)</f>
        <v>15</v>
      </c>
      <c r="F370" s="6">
        <f>VLOOKUP(J370,Лист2!$F:$I,3)</f>
        <v>701</v>
      </c>
      <c r="G370" s="6">
        <f>VLOOKUP(J370,Лист2!$F:$I,4)</f>
        <v>611</v>
      </c>
      <c r="H370" s="6">
        <f t="shared" si="10"/>
        <v>67771.100000000006</v>
      </c>
      <c r="I370" s="6">
        <f t="shared" si="11"/>
        <v>19</v>
      </c>
      <c r="J370" s="4" t="s">
        <v>396</v>
      </c>
    </row>
    <row r="371" spans="1:10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 s="9">
        <f>VLOOKUP(J371,Лист2!$F:$I,2)</f>
        <v>18</v>
      </c>
      <c r="F371" s="9">
        <f>VLOOKUP(J371,Лист2!$F:$I,3)</f>
        <v>1031</v>
      </c>
      <c r="G371" s="9">
        <f>VLOOKUP(J371,Лист2!$F:$I,4)</f>
        <v>918</v>
      </c>
      <c r="H371" s="9">
        <f t="shared" si="10"/>
        <v>80966.166666666672</v>
      </c>
      <c r="I371" s="9">
        <f t="shared" si="11"/>
        <v>21</v>
      </c>
      <c r="J371" s="4" t="s">
        <v>397</v>
      </c>
    </row>
    <row r="372" spans="1:10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6">
        <f>VLOOKUP(J372,Лист2!$F:$I,2)</f>
        <v>18</v>
      </c>
      <c r="F372" s="6">
        <f>VLOOKUP(J372,Лист2!$F:$I,3)</f>
        <v>989</v>
      </c>
      <c r="G372" s="6">
        <f>VLOOKUP(J372,Лист2!$F:$I,4)</f>
        <v>887</v>
      </c>
      <c r="H372" s="6">
        <f t="shared" si="10"/>
        <v>73705.833333333328</v>
      </c>
      <c r="I372" s="6">
        <f t="shared" si="11"/>
        <v>22</v>
      </c>
      <c r="J372" s="4" t="s">
        <v>398</v>
      </c>
    </row>
    <row r="373" spans="1:10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 s="9">
        <f>VLOOKUP(J373,Лист2!$F:$I,2)</f>
        <v>15</v>
      </c>
      <c r="F373" s="9">
        <f>VLOOKUP(J373,Лист2!$F:$I,3)</f>
        <v>644</v>
      </c>
      <c r="G373" s="9">
        <f>VLOOKUP(J373,Лист2!$F:$I,4)</f>
        <v>550</v>
      </c>
      <c r="H373" s="9">
        <f t="shared" si="10"/>
        <v>66967.399999999994</v>
      </c>
      <c r="I373" s="9">
        <f t="shared" si="11"/>
        <v>18</v>
      </c>
      <c r="J373" s="4" t="s">
        <v>399</v>
      </c>
    </row>
    <row r="374" spans="1:10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6">
        <f>VLOOKUP(J374,Лист2!$F:$I,2)</f>
        <v>15</v>
      </c>
      <c r="F374" s="6">
        <f>VLOOKUP(J374,Лист2!$F:$I,3)</f>
        <v>792</v>
      </c>
      <c r="G374" s="6">
        <f>VLOOKUP(J374,Лист2!$F:$I,4)</f>
        <v>695</v>
      </c>
      <c r="H374" s="6">
        <f t="shared" si="10"/>
        <v>81103.8</v>
      </c>
      <c r="I374" s="6">
        <f t="shared" si="11"/>
        <v>19</v>
      </c>
      <c r="J374" s="4" t="s">
        <v>400</v>
      </c>
    </row>
    <row r="375" spans="1:10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 s="9">
        <f>VLOOKUP(J375,Лист2!$F:$I,2)</f>
        <v>15</v>
      </c>
      <c r="F375" s="9">
        <f>VLOOKUP(J375,Лист2!$F:$I,3)</f>
        <v>703</v>
      </c>
      <c r="G375" s="9">
        <f>VLOOKUP(J375,Лист2!$F:$I,4)</f>
        <v>609</v>
      </c>
      <c r="H375" s="9">
        <f t="shared" si="10"/>
        <v>69789.899999999994</v>
      </c>
      <c r="I375" s="9">
        <f t="shared" si="11"/>
        <v>19</v>
      </c>
      <c r="J375" s="4" t="s">
        <v>401</v>
      </c>
    </row>
    <row r="376" spans="1:10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6">
        <f>VLOOKUP(J376,Лист2!$F:$I,2)</f>
        <v>15</v>
      </c>
      <c r="F376" s="6">
        <f>VLOOKUP(J376,Лист2!$F:$I,3)</f>
        <v>676</v>
      </c>
      <c r="G376" s="6">
        <f>VLOOKUP(J376,Лист2!$F:$I,4)</f>
        <v>591</v>
      </c>
      <c r="H376" s="6">
        <f t="shared" si="10"/>
        <v>64392</v>
      </c>
      <c r="I376" s="6">
        <f t="shared" si="11"/>
        <v>19</v>
      </c>
      <c r="J376" s="4" t="s">
        <v>402</v>
      </c>
    </row>
    <row r="377" spans="1:10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9">
        <f>VLOOKUP(J377,Лист2!$F:$I,2)</f>
        <v>18</v>
      </c>
      <c r="F377" s="9">
        <f>VLOOKUP(J377,Лист2!$F:$I,3)</f>
        <v>1006</v>
      </c>
      <c r="G377" s="9">
        <f>VLOOKUP(J377,Лист2!$F:$I,4)</f>
        <v>904</v>
      </c>
      <c r="H377" s="9">
        <f t="shared" si="10"/>
        <v>77014.583333333328</v>
      </c>
      <c r="I377" s="9">
        <f t="shared" si="11"/>
        <v>21</v>
      </c>
      <c r="J377" s="4" t="s">
        <v>403</v>
      </c>
    </row>
    <row r="378" spans="1:10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6">
        <f>VLOOKUP(J378,Лист2!$F:$I,2)</f>
        <v>18</v>
      </c>
      <c r="F378" s="6">
        <f>VLOOKUP(J378,Лист2!$F:$I,3)</f>
        <v>914</v>
      </c>
      <c r="G378" s="6">
        <f>VLOOKUP(J378,Лист2!$F:$I,4)</f>
        <v>804</v>
      </c>
      <c r="H378" s="6">
        <f t="shared" si="10"/>
        <v>67247.583333333328</v>
      </c>
      <c r="I378" s="6">
        <f t="shared" si="11"/>
        <v>22</v>
      </c>
      <c r="J378" s="4" t="s">
        <v>404</v>
      </c>
    </row>
    <row r="379" spans="1:10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 s="9">
        <f>VLOOKUP(J379,Лист2!$F:$I,2)</f>
        <v>15</v>
      </c>
      <c r="F379" s="9">
        <f>VLOOKUP(J379,Лист2!$F:$I,3)</f>
        <v>453</v>
      </c>
      <c r="G379" s="9">
        <f>VLOOKUP(J379,Лист2!$F:$I,4)</f>
        <v>370</v>
      </c>
      <c r="H379" s="9">
        <f t="shared" si="10"/>
        <v>42423</v>
      </c>
      <c r="I379" s="9">
        <f t="shared" si="11"/>
        <v>23</v>
      </c>
      <c r="J379" s="4" t="s">
        <v>405</v>
      </c>
    </row>
    <row r="380" spans="1:10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6">
        <f>VLOOKUP(J380,Лист2!$F:$I,2)</f>
        <v>9</v>
      </c>
      <c r="F380" s="6">
        <f>VLOOKUP(J380,Лист2!$F:$I,3)</f>
        <v>345</v>
      </c>
      <c r="G380" s="6">
        <f>VLOOKUP(J380,Лист2!$F:$I,4)</f>
        <v>255</v>
      </c>
      <c r="H380" s="6">
        <f t="shared" si="10"/>
        <v>54877</v>
      </c>
      <c r="I380" s="6">
        <f t="shared" si="11"/>
        <v>22</v>
      </c>
      <c r="J380" s="4" t="s">
        <v>406</v>
      </c>
    </row>
    <row r="381" spans="1:10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 s="9">
        <f>VLOOKUP(J381,Лист2!$F:$I,2)</f>
        <v>7</v>
      </c>
      <c r="F381" s="9">
        <f>VLOOKUP(J381,Лист2!$F:$I,3)</f>
        <v>532</v>
      </c>
      <c r="G381" s="9">
        <f>VLOOKUP(J381,Лист2!$F:$I,4)</f>
        <v>449</v>
      </c>
      <c r="H381" s="9">
        <f t="shared" si="10"/>
        <v>132667.92857142858</v>
      </c>
      <c r="I381" s="9">
        <f t="shared" si="11"/>
        <v>22</v>
      </c>
      <c r="J381" s="4" t="s">
        <v>407</v>
      </c>
    </row>
    <row r="382" spans="1:10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6">
        <f>VLOOKUP(J382,Лист2!$F:$I,2)</f>
        <v>15</v>
      </c>
      <c r="F382" s="6">
        <f>VLOOKUP(J382,Лист2!$F:$I,3)</f>
        <v>400</v>
      </c>
      <c r="G382" s="6">
        <f>VLOOKUP(J382,Лист2!$F:$I,4)</f>
        <v>329</v>
      </c>
      <c r="H382" s="6">
        <f t="shared" si="10"/>
        <v>43415.8</v>
      </c>
      <c r="I382" s="6">
        <f t="shared" si="11"/>
        <v>22</v>
      </c>
      <c r="J382" s="4" t="s">
        <v>408</v>
      </c>
    </row>
    <row r="383" spans="1:10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 s="9">
        <f>VLOOKUP(J383,Лист2!$F:$I,2)</f>
        <v>7</v>
      </c>
      <c r="F383" s="9">
        <f>VLOOKUP(J383,Лист2!$F:$I,3)</f>
        <v>420</v>
      </c>
      <c r="G383" s="9">
        <f>VLOOKUP(J383,Лист2!$F:$I,4)</f>
        <v>347</v>
      </c>
      <c r="H383" s="9">
        <f t="shared" si="10"/>
        <v>99238.5</v>
      </c>
      <c r="I383" s="9">
        <f t="shared" si="11"/>
        <v>22</v>
      </c>
      <c r="J383" s="4" t="s">
        <v>409</v>
      </c>
    </row>
    <row r="384" spans="1:10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6">
        <f>VLOOKUP(J384,Лист2!$F:$I,2)</f>
        <v>20</v>
      </c>
      <c r="F384" s="6">
        <f>VLOOKUP(J384,Лист2!$F:$I,3)</f>
        <v>2079</v>
      </c>
      <c r="G384" s="6">
        <f>VLOOKUP(J384,Лист2!$F:$I,4)</f>
        <v>1893</v>
      </c>
      <c r="H384" s="6">
        <f t="shared" si="10"/>
        <v>150787.57500000001</v>
      </c>
      <c r="I384" s="6">
        <f t="shared" si="11"/>
        <v>22</v>
      </c>
      <c r="J384" s="4" t="s">
        <v>410</v>
      </c>
    </row>
    <row r="385" spans="1:10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 s="9">
        <f>VLOOKUP(J385,Лист2!$F:$I,2)</f>
        <v>21</v>
      </c>
      <c r="F385" s="9">
        <f>VLOOKUP(J385,Лист2!$F:$I,3)</f>
        <v>2046</v>
      </c>
      <c r="G385" s="9">
        <f>VLOOKUP(J385,Лист2!$F:$I,4)</f>
        <v>1853</v>
      </c>
      <c r="H385" s="9">
        <f t="shared" si="10"/>
        <v>147193.78571428571</v>
      </c>
      <c r="I385" s="9">
        <f t="shared" si="11"/>
        <v>21</v>
      </c>
      <c r="J385" s="4" t="s">
        <v>411</v>
      </c>
    </row>
    <row r="386" spans="1:10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6">
        <f>VLOOKUP(J386,Лист2!$F:$I,2)</f>
        <v>6</v>
      </c>
      <c r="F386" s="6">
        <f>VLOOKUP(J386,Лист2!$F:$I,3)</f>
        <v>261</v>
      </c>
      <c r="G386" s="6">
        <f>VLOOKUP(J386,Лист2!$F:$I,4)</f>
        <v>188</v>
      </c>
      <c r="H386" s="6">
        <f t="shared" si="10"/>
        <v>78139.25</v>
      </c>
      <c r="I386" s="6">
        <f t="shared" si="11"/>
        <v>22</v>
      </c>
      <c r="J386" s="4" t="s">
        <v>412</v>
      </c>
    </row>
    <row r="387" spans="1:10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 s="9">
        <f>VLOOKUP(J387,Лист2!$F:$I,2)</f>
        <v>21</v>
      </c>
      <c r="F387" s="9">
        <f>VLOOKUP(J387,Лист2!$F:$I,3)</f>
        <v>1597</v>
      </c>
      <c r="G387" s="9">
        <f>VLOOKUP(J387,Лист2!$F:$I,4)</f>
        <v>1457</v>
      </c>
      <c r="H387" s="9">
        <f t="shared" ref="H387:H450" si="12">D387/E387</f>
        <v>118066.5</v>
      </c>
      <c r="I387" s="9">
        <f t="shared" ref="I387:I450" si="13">WEEKNUM(A387,2)</f>
        <v>20</v>
      </c>
      <c r="J387" s="4" t="s">
        <v>413</v>
      </c>
    </row>
    <row r="388" spans="1:10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6">
        <f>VLOOKUP(J388,Лист2!$F:$I,2)</f>
        <v>18</v>
      </c>
      <c r="F388" s="6">
        <f>VLOOKUP(J388,Лист2!$F:$I,3)</f>
        <v>1216</v>
      </c>
      <c r="G388" s="6">
        <f>VLOOKUP(J388,Лист2!$F:$I,4)</f>
        <v>1101</v>
      </c>
      <c r="H388" s="6">
        <f t="shared" si="12"/>
        <v>98508.583333333328</v>
      </c>
      <c r="I388" s="6">
        <f t="shared" si="13"/>
        <v>22</v>
      </c>
      <c r="J388" s="4" t="s">
        <v>414</v>
      </c>
    </row>
    <row r="389" spans="1:10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 s="9">
        <f>VLOOKUP(J389,Лист2!$F:$I,2)</f>
        <v>18</v>
      </c>
      <c r="F389" s="9">
        <f>VLOOKUP(J389,Лист2!$F:$I,3)</f>
        <v>1020</v>
      </c>
      <c r="G389" s="9">
        <f>VLOOKUP(J389,Лист2!$F:$I,4)</f>
        <v>911</v>
      </c>
      <c r="H389" s="9">
        <f t="shared" si="12"/>
        <v>77080.166666666672</v>
      </c>
      <c r="I389" s="9">
        <f t="shared" si="13"/>
        <v>22</v>
      </c>
      <c r="J389" s="4" t="s">
        <v>415</v>
      </c>
    </row>
    <row r="390" spans="1:10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6">
        <f>VLOOKUP(J390,Лист2!$F:$I,2)</f>
        <v>21</v>
      </c>
      <c r="F390" s="6">
        <f>VLOOKUP(J390,Лист2!$F:$I,3)</f>
        <v>1834</v>
      </c>
      <c r="G390" s="6">
        <f>VLOOKUP(J390,Лист2!$F:$I,4)</f>
        <v>1660</v>
      </c>
      <c r="H390" s="6">
        <f t="shared" si="12"/>
        <v>134589.5</v>
      </c>
      <c r="I390" s="6">
        <f t="shared" si="13"/>
        <v>21</v>
      </c>
      <c r="J390" s="4" t="s">
        <v>416</v>
      </c>
    </row>
    <row r="391" spans="1:10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 s="9">
        <f>VLOOKUP(J391,Лист2!$F:$I,2)</f>
        <v>21</v>
      </c>
      <c r="F391" s="9">
        <f>VLOOKUP(J391,Лист2!$F:$I,3)</f>
        <v>1706</v>
      </c>
      <c r="G391" s="9">
        <f>VLOOKUP(J391,Лист2!$F:$I,4)</f>
        <v>1548</v>
      </c>
      <c r="H391" s="9">
        <f t="shared" si="12"/>
        <v>128720.57142857143</v>
      </c>
      <c r="I391" s="9">
        <f t="shared" si="13"/>
        <v>20</v>
      </c>
      <c r="J391" s="4" t="s">
        <v>417</v>
      </c>
    </row>
    <row r="392" spans="1:10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6">
        <f>VLOOKUP(J392,Лист2!$F:$I,2)</f>
        <v>21</v>
      </c>
      <c r="F392" s="6">
        <f>VLOOKUP(J392,Лист2!$F:$I,3)</f>
        <v>1926</v>
      </c>
      <c r="G392" s="6">
        <f>VLOOKUP(J392,Лист2!$F:$I,4)</f>
        <v>1742</v>
      </c>
      <c r="H392" s="6">
        <f t="shared" si="12"/>
        <v>144680.64285714287</v>
      </c>
      <c r="I392" s="6">
        <f t="shared" si="13"/>
        <v>20</v>
      </c>
      <c r="J392" s="4" t="s">
        <v>418</v>
      </c>
    </row>
    <row r="393" spans="1:10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 s="9">
        <f>VLOOKUP(J393,Лист2!$F:$I,2)</f>
        <v>21</v>
      </c>
      <c r="F393" s="9">
        <f>VLOOKUP(J393,Лист2!$F:$I,3)</f>
        <v>2025</v>
      </c>
      <c r="G393" s="9">
        <f>VLOOKUP(J393,Лист2!$F:$I,4)</f>
        <v>1849</v>
      </c>
      <c r="H393" s="9">
        <f t="shared" si="12"/>
        <v>140239.78571428571</v>
      </c>
      <c r="I393" s="9">
        <f t="shared" si="13"/>
        <v>23</v>
      </c>
      <c r="J393" s="4" t="s">
        <v>419</v>
      </c>
    </row>
    <row r="394" spans="1:10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6">
        <f>VLOOKUP(J394,Лист2!$F:$I,2)</f>
        <v>7</v>
      </c>
      <c r="F394" s="6">
        <f>VLOOKUP(J394,Лист2!$F:$I,3)</f>
        <v>530</v>
      </c>
      <c r="G394" s="6">
        <f>VLOOKUP(J394,Лист2!$F:$I,4)</f>
        <v>447</v>
      </c>
      <c r="H394" s="6">
        <f t="shared" si="12"/>
        <v>123717.64285714286</v>
      </c>
      <c r="I394" s="6">
        <f t="shared" si="13"/>
        <v>22</v>
      </c>
      <c r="J394" s="4" t="s">
        <v>420</v>
      </c>
    </row>
    <row r="395" spans="1:10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 s="9">
        <f>VLOOKUP(J395,Лист2!$F:$I,2)</f>
        <v>20</v>
      </c>
      <c r="F395" s="9">
        <f>VLOOKUP(J395,Лист2!$F:$I,3)</f>
        <v>2111</v>
      </c>
      <c r="G395" s="9">
        <f>VLOOKUP(J395,Лист2!$F:$I,4)</f>
        <v>1917</v>
      </c>
      <c r="H395" s="9">
        <f t="shared" si="12"/>
        <v>159658.35</v>
      </c>
      <c r="I395" s="9">
        <f t="shared" si="13"/>
        <v>22</v>
      </c>
      <c r="J395" s="4" t="s">
        <v>421</v>
      </c>
    </row>
    <row r="396" spans="1:10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6">
        <f>VLOOKUP(J396,Лист2!$F:$I,2)</f>
        <v>31</v>
      </c>
      <c r="F396" s="6">
        <f>VLOOKUP(J396,Лист2!$F:$I,3)</f>
        <v>5330</v>
      </c>
      <c r="G396" s="6">
        <f>VLOOKUP(J396,Лист2!$F:$I,4)</f>
        <v>4977</v>
      </c>
      <c r="H396" s="6">
        <f t="shared" si="12"/>
        <v>216163.98387096773</v>
      </c>
      <c r="I396" s="6">
        <f t="shared" si="13"/>
        <v>22</v>
      </c>
      <c r="J396" s="4" t="s">
        <v>422</v>
      </c>
    </row>
    <row r="397" spans="1:10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 s="9">
        <f>VLOOKUP(J397,Лист2!$F:$I,2)</f>
        <v>31</v>
      </c>
      <c r="F397" s="9">
        <f>VLOOKUP(J397,Лист2!$F:$I,3)</f>
        <v>5965</v>
      </c>
      <c r="G397" s="9">
        <f>VLOOKUP(J397,Лист2!$F:$I,4)</f>
        <v>5533</v>
      </c>
      <c r="H397" s="9">
        <f t="shared" si="12"/>
        <v>249305.32258064515</v>
      </c>
      <c r="I397" s="9">
        <f t="shared" si="13"/>
        <v>21</v>
      </c>
      <c r="J397" s="4" t="s">
        <v>423</v>
      </c>
    </row>
    <row r="398" spans="1:10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6">
        <f>VLOOKUP(J398,Лист2!$F:$I,2)</f>
        <v>31</v>
      </c>
      <c r="F398" s="6">
        <f>VLOOKUP(J398,Лист2!$F:$I,3)</f>
        <v>5468</v>
      </c>
      <c r="G398" s="6">
        <f>VLOOKUP(J398,Лист2!$F:$I,4)</f>
        <v>5081</v>
      </c>
      <c r="H398" s="6">
        <f t="shared" si="12"/>
        <v>220320.04838709679</v>
      </c>
      <c r="I398" s="6">
        <f t="shared" si="13"/>
        <v>23</v>
      </c>
      <c r="J398" s="4" t="s">
        <v>424</v>
      </c>
    </row>
    <row r="399" spans="1:10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 s="9">
        <f>VLOOKUP(J399,Лист2!$F:$I,2)</f>
        <v>18</v>
      </c>
      <c r="F399" s="9">
        <f>VLOOKUP(J399,Лист2!$F:$I,3)</f>
        <v>1029</v>
      </c>
      <c r="G399" s="9">
        <f>VLOOKUP(J399,Лист2!$F:$I,4)</f>
        <v>925</v>
      </c>
      <c r="H399" s="9">
        <f t="shared" si="12"/>
        <v>79078.333333333328</v>
      </c>
      <c r="I399" s="9">
        <f t="shared" si="13"/>
        <v>22</v>
      </c>
      <c r="J399" s="4" t="s">
        <v>425</v>
      </c>
    </row>
    <row r="400" spans="1:10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6">
        <f>VLOOKUP(J400,Лист2!$F:$I,2)</f>
        <v>31</v>
      </c>
      <c r="F400" s="6">
        <f>VLOOKUP(J400,Лист2!$F:$I,3)</f>
        <v>4826</v>
      </c>
      <c r="G400" s="6">
        <f>VLOOKUP(J400,Лист2!$F:$I,4)</f>
        <v>4483</v>
      </c>
      <c r="H400" s="6">
        <f t="shared" si="12"/>
        <v>206410.30645161291</v>
      </c>
      <c r="I400" s="6">
        <f t="shared" si="13"/>
        <v>20</v>
      </c>
      <c r="J400" s="4" t="s">
        <v>426</v>
      </c>
    </row>
    <row r="401" spans="1:10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 s="9">
        <f>VLOOKUP(J401,Лист2!$F:$I,2)</f>
        <v>31</v>
      </c>
      <c r="F401" s="9">
        <f>VLOOKUP(J401,Лист2!$F:$I,3)</f>
        <v>5165</v>
      </c>
      <c r="G401" s="9">
        <f>VLOOKUP(J401,Лист2!$F:$I,4)</f>
        <v>4813</v>
      </c>
      <c r="H401" s="9">
        <f t="shared" si="12"/>
        <v>213216.5806451613</v>
      </c>
      <c r="I401" s="9">
        <f t="shared" si="13"/>
        <v>21</v>
      </c>
      <c r="J401" s="4" t="s">
        <v>427</v>
      </c>
    </row>
    <row r="402" spans="1:10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6">
        <f>VLOOKUP(J402,Лист2!$F:$I,2)</f>
        <v>31</v>
      </c>
      <c r="F402" s="6">
        <f>VLOOKUP(J402,Лист2!$F:$I,3)</f>
        <v>4695</v>
      </c>
      <c r="G402" s="6">
        <f>VLOOKUP(J402,Лист2!$F:$I,4)</f>
        <v>4372</v>
      </c>
      <c r="H402" s="6">
        <f t="shared" si="12"/>
        <v>195279</v>
      </c>
      <c r="I402" s="6">
        <f t="shared" si="13"/>
        <v>20</v>
      </c>
      <c r="J402" s="4" t="s">
        <v>428</v>
      </c>
    </row>
    <row r="403" spans="1:10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 s="9">
        <f>VLOOKUP(J403,Лист2!$F:$I,2)</f>
        <v>31</v>
      </c>
      <c r="F403" s="9">
        <f>VLOOKUP(J403,Лист2!$F:$I,3)</f>
        <v>5184</v>
      </c>
      <c r="G403" s="9">
        <f>VLOOKUP(J403,Лист2!$F:$I,4)</f>
        <v>4778</v>
      </c>
      <c r="H403" s="9">
        <f t="shared" si="12"/>
        <v>221821.11290322582</v>
      </c>
      <c r="I403" s="9">
        <f t="shared" si="13"/>
        <v>20</v>
      </c>
      <c r="J403" s="4" t="s">
        <v>429</v>
      </c>
    </row>
    <row r="404" spans="1:10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6">
        <f>VLOOKUP(J404,Лист2!$F:$I,2)</f>
        <v>10</v>
      </c>
      <c r="F404" s="6">
        <f>VLOOKUP(J404,Лист2!$F:$I,3)</f>
        <v>757</v>
      </c>
      <c r="G404" s="6">
        <f>VLOOKUP(J404,Лист2!$F:$I,4)</f>
        <v>660</v>
      </c>
      <c r="H404" s="6">
        <f t="shared" si="12"/>
        <v>105479.85</v>
      </c>
      <c r="I404" s="6">
        <f t="shared" si="13"/>
        <v>22</v>
      </c>
      <c r="J404" s="4" t="s">
        <v>430</v>
      </c>
    </row>
    <row r="405" spans="1:10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 s="9">
        <f>VLOOKUP(J405,Лист2!$F:$I,2)</f>
        <v>10</v>
      </c>
      <c r="F405" s="9">
        <f>VLOOKUP(J405,Лист2!$F:$I,3)</f>
        <v>965</v>
      </c>
      <c r="G405" s="9">
        <f>VLOOKUP(J405,Лист2!$F:$I,4)</f>
        <v>861</v>
      </c>
      <c r="H405" s="9">
        <f t="shared" si="12"/>
        <v>145504.95000000001</v>
      </c>
      <c r="I405" s="9">
        <f t="shared" si="13"/>
        <v>21</v>
      </c>
      <c r="J405" s="4" t="s">
        <v>431</v>
      </c>
    </row>
    <row r="406" spans="1:10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6">
        <f>VLOOKUP(J406,Лист2!$F:$I,2)</f>
        <v>10</v>
      </c>
      <c r="F406" s="6">
        <f>VLOOKUP(J406,Лист2!$F:$I,3)</f>
        <v>719</v>
      </c>
      <c r="G406" s="6">
        <f>VLOOKUP(J406,Лист2!$F:$I,4)</f>
        <v>627</v>
      </c>
      <c r="H406" s="6">
        <f t="shared" si="12"/>
        <v>100774.2</v>
      </c>
      <c r="I406" s="6">
        <f t="shared" si="13"/>
        <v>23</v>
      </c>
      <c r="J406" s="4" t="s">
        <v>432</v>
      </c>
    </row>
    <row r="407" spans="1:10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 s="9">
        <f>VLOOKUP(J407,Лист2!$F:$I,2)</f>
        <v>10</v>
      </c>
      <c r="F407" s="9">
        <f>VLOOKUP(J407,Лист2!$F:$I,3)</f>
        <v>494</v>
      </c>
      <c r="G407" s="9">
        <f>VLOOKUP(J407,Лист2!$F:$I,4)</f>
        <v>421</v>
      </c>
      <c r="H407" s="9">
        <f t="shared" si="12"/>
        <v>73433.55</v>
      </c>
      <c r="I407" s="9">
        <f t="shared" si="13"/>
        <v>20</v>
      </c>
      <c r="J407" s="4" t="s">
        <v>433</v>
      </c>
    </row>
    <row r="408" spans="1:10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6">
        <f>VLOOKUP(J408,Лист2!$F:$I,2)</f>
        <v>31</v>
      </c>
      <c r="F408" s="6">
        <f>VLOOKUP(J408,Лист2!$F:$I,3)</f>
        <v>5751</v>
      </c>
      <c r="G408" s="6">
        <f>VLOOKUP(J408,Лист2!$F:$I,4)</f>
        <v>5319</v>
      </c>
      <c r="H408" s="6">
        <f t="shared" si="12"/>
        <v>238294.06451612903</v>
      </c>
      <c r="I408" s="6">
        <f t="shared" si="13"/>
        <v>22</v>
      </c>
      <c r="J408" s="4" t="s">
        <v>434</v>
      </c>
    </row>
    <row r="409" spans="1:10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 s="9">
        <f>VLOOKUP(J409,Лист2!$F:$I,2)</f>
        <v>10</v>
      </c>
      <c r="F409" s="9">
        <f>VLOOKUP(J409,Лист2!$F:$I,3)</f>
        <v>645</v>
      </c>
      <c r="G409" s="9">
        <f>VLOOKUP(J409,Лист2!$F:$I,4)</f>
        <v>565</v>
      </c>
      <c r="H409" s="9">
        <f t="shared" si="12"/>
        <v>93642.75</v>
      </c>
      <c r="I409" s="9">
        <f t="shared" si="13"/>
        <v>21</v>
      </c>
      <c r="J409" s="4" t="s">
        <v>435</v>
      </c>
    </row>
    <row r="410" spans="1:10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6">
        <f>VLOOKUP(J410,Лист2!$F:$I,2)</f>
        <v>10</v>
      </c>
      <c r="F410" s="6">
        <f>VLOOKUP(J410,Лист2!$F:$I,3)</f>
        <v>627</v>
      </c>
      <c r="G410" s="6">
        <f>VLOOKUP(J410,Лист2!$F:$I,4)</f>
        <v>545</v>
      </c>
      <c r="H410" s="6">
        <f t="shared" si="12"/>
        <v>98156.4</v>
      </c>
      <c r="I410" s="6">
        <f t="shared" si="13"/>
        <v>20</v>
      </c>
      <c r="J410" s="4" t="s">
        <v>436</v>
      </c>
    </row>
    <row r="411" spans="1:10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 s="9">
        <f>VLOOKUP(J411,Лист2!$F:$I,2)</f>
        <v>10</v>
      </c>
      <c r="F411" s="9">
        <f>VLOOKUP(J411,Лист2!$F:$I,3)</f>
        <v>743</v>
      </c>
      <c r="G411" s="9">
        <f>VLOOKUP(J411,Лист2!$F:$I,4)</f>
        <v>652</v>
      </c>
      <c r="H411" s="9">
        <f t="shared" si="12"/>
        <v>115057.95</v>
      </c>
      <c r="I411" s="9">
        <f t="shared" si="13"/>
        <v>20</v>
      </c>
      <c r="J411" s="4" t="s">
        <v>437</v>
      </c>
    </row>
    <row r="412" spans="1:10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6">
        <f>VLOOKUP(J412,Лист2!$F:$I,2)</f>
        <v>10</v>
      </c>
      <c r="F412" s="6">
        <f>VLOOKUP(J412,Лист2!$F:$I,3)</f>
        <v>873</v>
      </c>
      <c r="G412" s="6">
        <f>VLOOKUP(J412,Лист2!$F:$I,4)</f>
        <v>770</v>
      </c>
      <c r="H412" s="6">
        <f t="shared" si="12"/>
        <v>127346.4</v>
      </c>
      <c r="I412" s="6">
        <f t="shared" si="13"/>
        <v>22</v>
      </c>
      <c r="J412" s="4" t="s">
        <v>438</v>
      </c>
    </row>
    <row r="413" spans="1:10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 s="9">
        <f>VLOOKUP(J413,Лист2!$F:$I,2)</f>
        <v>20</v>
      </c>
      <c r="F413" s="9">
        <f>VLOOKUP(J413,Лист2!$F:$I,3)</f>
        <v>2079</v>
      </c>
      <c r="G413" s="9">
        <f>VLOOKUP(J413,Лист2!$F:$I,4)</f>
        <v>1856</v>
      </c>
      <c r="H413" s="9">
        <f t="shared" si="12"/>
        <v>146206.65</v>
      </c>
      <c r="I413" s="9">
        <f t="shared" si="13"/>
        <v>22</v>
      </c>
      <c r="J413" s="4" t="s">
        <v>439</v>
      </c>
    </row>
    <row r="414" spans="1:10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6">
        <f>VLOOKUP(J414,Лист2!$F:$I,2)</f>
        <v>20</v>
      </c>
      <c r="F414" s="6">
        <f>VLOOKUP(J414,Лист2!$F:$I,3)</f>
        <v>2306</v>
      </c>
      <c r="G414" s="6">
        <f>VLOOKUP(J414,Лист2!$F:$I,4)</f>
        <v>2054</v>
      </c>
      <c r="H414" s="6">
        <f t="shared" si="12"/>
        <v>170709</v>
      </c>
      <c r="I414" s="6">
        <f t="shared" si="13"/>
        <v>21</v>
      </c>
      <c r="J414" s="4" t="s">
        <v>440</v>
      </c>
    </row>
    <row r="415" spans="1:10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 s="9">
        <f>VLOOKUP(J415,Лист2!$F:$I,2)</f>
        <v>20</v>
      </c>
      <c r="F415" s="9">
        <f>VLOOKUP(J415,Лист2!$F:$I,3)</f>
        <v>2136</v>
      </c>
      <c r="G415" s="9">
        <f>VLOOKUP(J415,Лист2!$F:$I,4)</f>
        <v>1899</v>
      </c>
      <c r="H415" s="9">
        <f t="shared" si="12"/>
        <v>150675.6</v>
      </c>
      <c r="I415" s="9">
        <f t="shared" si="13"/>
        <v>23</v>
      </c>
      <c r="J415" s="4" t="s">
        <v>441</v>
      </c>
    </row>
    <row r="416" spans="1:10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6">
        <f>VLOOKUP(J416,Лист2!$F:$I,2)</f>
        <v>19</v>
      </c>
      <c r="F416" s="6">
        <f>VLOOKUP(J416,Лист2!$F:$I,3)</f>
        <v>2530</v>
      </c>
      <c r="G416" s="6">
        <f>VLOOKUP(J416,Лист2!$F:$I,4)</f>
        <v>2270</v>
      </c>
      <c r="H416" s="6">
        <f t="shared" si="12"/>
        <v>205893.63157894736</v>
      </c>
      <c r="I416" s="6">
        <f t="shared" si="13"/>
        <v>20</v>
      </c>
      <c r="J416" s="4" t="s">
        <v>442</v>
      </c>
    </row>
    <row r="417" spans="1:10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 s="9">
        <f>VLOOKUP(J417,Лист2!$F:$I,2)</f>
        <v>19</v>
      </c>
      <c r="F417" s="9">
        <f>VLOOKUP(J417,Лист2!$F:$I,3)</f>
        <v>1858</v>
      </c>
      <c r="G417" s="9">
        <f>VLOOKUP(J417,Лист2!$F:$I,4)</f>
        <v>1648</v>
      </c>
      <c r="H417" s="9">
        <f t="shared" si="12"/>
        <v>136218.31578947368</v>
      </c>
      <c r="I417" s="9">
        <f t="shared" si="13"/>
        <v>21</v>
      </c>
      <c r="J417" s="4" t="s">
        <v>443</v>
      </c>
    </row>
    <row r="418" spans="1:10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6">
        <f>VLOOKUP(J418,Лист2!$F:$I,2)</f>
        <v>19</v>
      </c>
      <c r="F418" s="6">
        <f>VLOOKUP(J418,Лист2!$F:$I,3)</f>
        <v>1675</v>
      </c>
      <c r="G418" s="6">
        <f>VLOOKUP(J418,Лист2!$F:$I,4)</f>
        <v>1475</v>
      </c>
      <c r="H418" s="6">
        <f t="shared" si="12"/>
        <v>128501.05263157895</v>
      </c>
      <c r="I418" s="6">
        <f t="shared" si="13"/>
        <v>20</v>
      </c>
      <c r="J418" s="4" t="s">
        <v>444</v>
      </c>
    </row>
    <row r="419" spans="1:10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 s="9">
        <f>VLOOKUP(J419,Лист2!$F:$I,2)</f>
        <v>19</v>
      </c>
      <c r="F419" s="9">
        <f>VLOOKUP(J419,Лист2!$F:$I,3)</f>
        <v>1940</v>
      </c>
      <c r="G419" s="9">
        <f>VLOOKUP(J419,Лист2!$F:$I,4)</f>
        <v>1715</v>
      </c>
      <c r="H419" s="9">
        <f t="shared" si="12"/>
        <v>155214.63157894736</v>
      </c>
      <c r="I419" s="9">
        <f t="shared" si="13"/>
        <v>20</v>
      </c>
      <c r="J419" s="4" t="s">
        <v>445</v>
      </c>
    </row>
    <row r="420" spans="1:10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6">
        <f>VLOOKUP(J420,Лист2!$F:$I,2)</f>
        <v>20</v>
      </c>
      <c r="F420" s="6">
        <f>VLOOKUP(J420,Лист2!$F:$I,3)</f>
        <v>2249</v>
      </c>
      <c r="G420" s="6">
        <f>VLOOKUP(J420,Лист2!$F:$I,4)</f>
        <v>2000</v>
      </c>
      <c r="H420" s="6">
        <f t="shared" si="12"/>
        <v>162902.70000000001</v>
      </c>
      <c r="I420" s="6">
        <f t="shared" si="13"/>
        <v>22</v>
      </c>
      <c r="J420" s="4" t="s">
        <v>446</v>
      </c>
    </row>
    <row r="421" spans="1:10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 s="9">
        <f>VLOOKUP(J421,Лист2!$F:$I,2)</f>
        <v>129</v>
      </c>
      <c r="F421" s="9">
        <f>VLOOKUP(J421,Лист2!$F:$I,3)</f>
        <v>17115</v>
      </c>
      <c r="G421" s="9">
        <f>VLOOKUP(J421,Лист2!$F:$I,4)</f>
        <v>15962</v>
      </c>
      <c r="H421" s="9">
        <f t="shared" si="12"/>
        <v>226798.39534883722</v>
      </c>
      <c r="I421" s="9">
        <f t="shared" si="13"/>
        <v>22</v>
      </c>
      <c r="J421" s="4" t="s">
        <v>447</v>
      </c>
    </row>
    <row r="422" spans="1:10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6">
        <f>VLOOKUP(J422,Лист2!$F:$I,2)</f>
        <v>129</v>
      </c>
      <c r="F422" s="6">
        <f>VLOOKUP(J422,Лист2!$F:$I,3)</f>
        <v>17088</v>
      </c>
      <c r="G422" s="6">
        <f>VLOOKUP(J422,Лист2!$F:$I,4)</f>
        <v>15804</v>
      </c>
      <c r="H422" s="6">
        <f t="shared" si="12"/>
        <v>228416.81395348837</v>
      </c>
      <c r="I422" s="6">
        <f t="shared" si="13"/>
        <v>21</v>
      </c>
      <c r="J422" s="4" t="s">
        <v>448</v>
      </c>
    </row>
    <row r="423" spans="1:10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 s="9">
        <f>VLOOKUP(J423,Лист2!$F:$I,2)</f>
        <v>128</v>
      </c>
      <c r="F423" s="9">
        <f>VLOOKUP(J423,Лист2!$F:$I,3)</f>
        <v>16285</v>
      </c>
      <c r="G423" s="9">
        <f>VLOOKUP(J423,Лист2!$F:$I,4)</f>
        <v>15130</v>
      </c>
      <c r="H423" s="9">
        <f t="shared" si="12"/>
        <v>216953.84765625</v>
      </c>
      <c r="I423" s="9">
        <f t="shared" si="13"/>
        <v>23</v>
      </c>
      <c r="J423" s="4" t="s">
        <v>449</v>
      </c>
    </row>
    <row r="424" spans="1:10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6">
        <f>VLOOKUP(J424,Лист2!$F:$I,2)</f>
        <v>129</v>
      </c>
      <c r="F424" s="6">
        <f>VLOOKUP(J424,Лист2!$F:$I,3)</f>
        <v>14043</v>
      </c>
      <c r="G424" s="6">
        <f>VLOOKUP(J424,Лист2!$F:$I,4)</f>
        <v>13167</v>
      </c>
      <c r="H424" s="6">
        <f t="shared" si="12"/>
        <v>190916.53661976743</v>
      </c>
      <c r="I424" s="6">
        <f t="shared" si="13"/>
        <v>20</v>
      </c>
      <c r="J424" s="4" t="s">
        <v>450</v>
      </c>
    </row>
    <row r="425" spans="1:10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 s="9">
        <f>VLOOKUP(J425,Лист2!$F:$I,2)</f>
        <v>129</v>
      </c>
      <c r="F425" s="9">
        <f>VLOOKUP(J425,Лист2!$F:$I,3)</f>
        <v>16110</v>
      </c>
      <c r="G425" s="9">
        <f>VLOOKUP(J425,Лист2!$F:$I,4)</f>
        <v>14992</v>
      </c>
      <c r="H425" s="9">
        <f t="shared" si="12"/>
        <v>213451.81509767444</v>
      </c>
      <c r="I425" s="9">
        <f t="shared" si="13"/>
        <v>21</v>
      </c>
      <c r="J425" s="4" t="s">
        <v>451</v>
      </c>
    </row>
    <row r="426" spans="1:10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6">
        <f>VLOOKUP(J426,Лист2!$F:$I,2)</f>
        <v>129</v>
      </c>
      <c r="F426" s="6">
        <f>VLOOKUP(J426,Лист2!$F:$I,3)</f>
        <v>15804</v>
      </c>
      <c r="G426" s="6">
        <f>VLOOKUP(J426,Лист2!$F:$I,4)</f>
        <v>14738</v>
      </c>
      <c r="H426" s="6">
        <f t="shared" si="12"/>
        <v>218459.62790697673</v>
      </c>
      <c r="I426" s="6">
        <f t="shared" si="13"/>
        <v>20</v>
      </c>
      <c r="J426" s="4" t="s">
        <v>452</v>
      </c>
    </row>
    <row r="427" spans="1:10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 s="9">
        <f>VLOOKUP(J427,Лист2!$F:$I,2)</f>
        <v>129</v>
      </c>
      <c r="F427" s="9">
        <f>VLOOKUP(J427,Лист2!$F:$I,3)</f>
        <v>17808</v>
      </c>
      <c r="G427" s="9">
        <f>VLOOKUP(J427,Лист2!$F:$I,4)</f>
        <v>16486</v>
      </c>
      <c r="H427" s="9">
        <f t="shared" si="12"/>
        <v>250808.76744186046</v>
      </c>
      <c r="I427" s="9">
        <f t="shared" si="13"/>
        <v>20</v>
      </c>
      <c r="J427" s="4" t="s">
        <v>453</v>
      </c>
    </row>
    <row r="428" spans="1:10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6">
        <f>VLOOKUP(J428,Лист2!$F:$I,2)</f>
        <v>124</v>
      </c>
      <c r="F428" s="6">
        <f>VLOOKUP(J428,Лист2!$F:$I,3)</f>
        <v>21384</v>
      </c>
      <c r="G428" s="6">
        <f>VLOOKUP(J428,Лист2!$F:$I,4)</f>
        <v>19897</v>
      </c>
      <c r="H428" s="6">
        <f t="shared" si="12"/>
        <v>314797.2701612903</v>
      </c>
      <c r="I428" s="6">
        <f t="shared" si="13"/>
        <v>22</v>
      </c>
      <c r="J428" s="4" t="s">
        <v>454</v>
      </c>
    </row>
    <row r="429" spans="1:10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 s="9">
        <f>VLOOKUP(J429,Лист2!$F:$I,2)</f>
        <v>125</v>
      </c>
      <c r="F429" s="9">
        <f>VLOOKUP(J429,Лист2!$F:$I,3)</f>
        <v>21427</v>
      </c>
      <c r="G429" s="9">
        <f>VLOOKUP(J429,Лист2!$F:$I,4)</f>
        <v>19799</v>
      </c>
      <c r="H429" s="9">
        <f t="shared" si="12"/>
        <v>315986.98800000001</v>
      </c>
      <c r="I429" s="9">
        <f t="shared" si="13"/>
        <v>21</v>
      </c>
      <c r="J429" s="4" t="s">
        <v>455</v>
      </c>
    </row>
    <row r="430" spans="1:10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6">
        <f>VLOOKUP(J430,Лист2!$F:$I,2)</f>
        <v>123</v>
      </c>
      <c r="F430" s="6">
        <f>VLOOKUP(J430,Лист2!$F:$I,3)</f>
        <v>20325</v>
      </c>
      <c r="G430" s="6">
        <f>VLOOKUP(J430,Лист2!$F:$I,4)</f>
        <v>18935</v>
      </c>
      <c r="H430" s="6">
        <f t="shared" si="12"/>
        <v>302909.26976707316</v>
      </c>
      <c r="I430" s="6">
        <f t="shared" si="13"/>
        <v>23</v>
      </c>
      <c r="J430" s="4" t="s">
        <v>456</v>
      </c>
    </row>
    <row r="431" spans="1:10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 s="9">
        <f>VLOOKUP(J431,Лист2!$F:$I,2)</f>
        <v>125</v>
      </c>
      <c r="F431" s="9">
        <f>VLOOKUP(J431,Лист2!$F:$I,3)</f>
        <v>18066</v>
      </c>
      <c r="G431" s="9">
        <f>VLOOKUP(J431,Лист2!$F:$I,4)</f>
        <v>16883</v>
      </c>
      <c r="H431" s="9">
        <f t="shared" si="12"/>
        <v>270252.64799999999</v>
      </c>
      <c r="I431" s="9">
        <f t="shared" si="13"/>
        <v>20</v>
      </c>
      <c r="J431" s="4" t="s">
        <v>457</v>
      </c>
    </row>
    <row r="432" spans="1:10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6">
        <f>VLOOKUP(J432,Лист2!$F:$I,2)</f>
        <v>129</v>
      </c>
      <c r="F432" s="6">
        <f>VLOOKUP(J432,Лист2!$F:$I,3)</f>
        <v>22403</v>
      </c>
      <c r="G432" s="6">
        <f>VLOOKUP(J432,Лист2!$F:$I,4)</f>
        <v>20676</v>
      </c>
      <c r="H432" s="6">
        <f t="shared" si="12"/>
        <v>323776.27988372097</v>
      </c>
      <c r="I432" s="6">
        <f t="shared" si="13"/>
        <v>22</v>
      </c>
      <c r="J432" s="4" t="s">
        <v>458</v>
      </c>
    </row>
    <row r="433" spans="1:10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 s="9">
        <f>VLOOKUP(J433,Лист2!$F:$I,2)</f>
        <v>125</v>
      </c>
      <c r="F433" s="9">
        <f>VLOOKUP(J433,Лист2!$F:$I,3)</f>
        <v>20449</v>
      </c>
      <c r="G433" s="9">
        <f>VLOOKUP(J433,Лист2!$F:$I,4)</f>
        <v>19060</v>
      </c>
      <c r="H433" s="9">
        <f t="shared" si="12"/>
        <v>295015.10399999999</v>
      </c>
      <c r="I433" s="9">
        <f t="shared" si="13"/>
        <v>21</v>
      </c>
      <c r="J433" s="4" t="s">
        <v>459</v>
      </c>
    </row>
    <row r="434" spans="1:10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6">
        <f>VLOOKUP(J434,Лист2!$F:$I,2)</f>
        <v>125</v>
      </c>
      <c r="F434" s="6">
        <f>VLOOKUP(J434,Лист2!$F:$I,3)</f>
        <v>20247</v>
      </c>
      <c r="G434" s="6">
        <f>VLOOKUP(J434,Лист2!$F:$I,4)</f>
        <v>18812</v>
      </c>
      <c r="H434" s="6">
        <f t="shared" si="12"/>
        <v>303705.20400000003</v>
      </c>
      <c r="I434" s="6">
        <f t="shared" si="13"/>
        <v>20</v>
      </c>
      <c r="J434" s="4" t="s">
        <v>460</v>
      </c>
    </row>
    <row r="435" spans="1:10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 s="9">
        <f>VLOOKUP(J435,Лист2!$F:$I,2)</f>
        <v>125</v>
      </c>
      <c r="F435" s="9">
        <f>VLOOKUP(J435,Лист2!$F:$I,3)</f>
        <v>21862</v>
      </c>
      <c r="G435" s="9">
        <f>VLOOKUP(J435,Лист2!$F:$I,4)</f>
        <v>20235</v>
      </c>
      <c r="H435" s="9">
        <f t="shared" si="12"/>
        <v>338171.016</v>
      </c>
      <c r="I435" s="9">
        <f t="shared" si="13"/>
        <v>20</v>
      </c>
      <c r="J435" s="4" t="s">
        <v>461</v>
      </c>
    </row>
    <row r="436" spans="1:10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6">
        <f>VLOOKUP(J436,Лист2!$F:$I,2)</f>
        <v>36</v>
      </c>
      <c r="F436" s="6">
        <f>VLOOKUP(J436,Лист2!$F:$I,3)</f>
        <v>4951</v>
      </c>
      <c r="G436" s="6">
        <f>VLOOKUP(J436,Лист2!$F:$I,4)</f>
        <v>4584</v>
      </c>
      <c r="H436" s="6">
        <f t="shared" si="12"/>
        <v>166274.83333333334</v>
      </c>
      <c r="I436" s="6">
        <f t="shared" si="13"/>
        <v>22</v>
      </c>
      <c r="J436" s="4" t="s">
        <v>462</v>
      </c>
    </row>
    <row r="437" spans="1:10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 s="9">
        <f>VLOOKUP(J437,Лист2!$F:$I,2)</f>
        <v>36</v>
      </c>
      <c r="F437" s="9">
        <f>VLOOKUP(J437,Лист2!$F:$I,3)</f>
        <v>4857</v>
      </c>
      <c r="G437" s="9">
        <f>VLOOKUP(J437,Лист2!$F:$I,4)</f>
        <v>4456</v>
      </c>
      <c r="H437" s="9">
        <f t="shared" si="12"/>
        <v>165096.91666666666</v>
      </c>
      <c r="I437" s="9">
        <f t="shared" si="13"/>
        <v>21</v>
      </c>
      <c r="J437" s="4" t="s">
        <v>463</v>
      </c>
    </row>
    <row r="438" spans="1:10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6">
        <f>VLOOKUP(J438,Лист2!$F:$I,2)</f>
        <v>37</v>
      </c>
      <c r="F438" s="6">
        <f>VLOOKUP(J438,Лист2!$F:$I,3)</f>
        <v>4722</v>
      </c>
      <c r="G438" s="6">
        <f>VLOOKUP(J438,Лист2!$F:$I,4)</f>
        <v>4352</v>
      </c>
      <c r="H438" s="6">
        <f t="shared" si="12"/>
        <v>156764.59459459459</v>
      </c>
      <c r="I438" s="6">
        <f t="shared" si="13"/>
        <v>23</v>
      </c>
      <c r="J438" s="4" t="s">
        <v>464</v>
      </c>
    </row>
    <row r="439" spans="1:10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 s="9">
        <f>VLOOKUP(J439,Лист2!$F:$I,2)</f>
        <v>36</v>
      </c>
      <c r="F439" s="9">
        <f>VLOOKUP(J439,Лист2!$F:$I,3)</f>
        <v>4150</v>
      </c>
      <c r="G439" s="9">
        <f>VLOOKUP(J439,Лист2!$F:$I,4)</f>
        <v>3838</v>
      </c>
      <c r="H439" s="9">
        <f t="shared" si="12"/>
        <v>143838.04166666666</v>
      </c>
      <c r="I439" s="9">
        <f t="shared" si="13"/>
        <v>20</v>
      </c>
      <c r="J439" s="4" t="s">
        <v>465</v>
      </c>
    </row>
    <row r="440" spans="1:10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6">
        <f>VLOOKUP(J440,Лист2!$F:$I,2)</f>
        <v>124</v>
      </c>
      <c r="F440" s="6">
        <f>VLOOKUP(J440,Лист2!$F:$I,3)</f>
        <v>25828</v>
      </c>
      <c r="G440" s="6">
        <f>VLOOKUP(J440,Лист2!$F:$I,4)</f>
        <v>23974</v>
      </c>
      <c r="H440" s="6">
        <f t="shared" si="12"/>
        <v>436871.20161290321</v>
      </c>
      <c r="I440" s="6">
        <f t="shared" si="13"/>
        <v>22</v>
      </c>
      <c r="J440" s="4" t="s">
        <v>466</v>
      </c>
    </row>
    <row r="441" spans="1:10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 s="9">
        <f>VLOOKUP(J441,Лист2!$F:$I,2)</f>
        <v>36</v>
      </c>
      <c r="F441" s="9">
        <f>VLOOKUP(J441,Лист2!$F:$I,3)</f>
        <v>4885</v>
      </c>
      <c r="G441" s="9">
        <f>VLOOKUP(J441,Лист2!$F:$I,4)</f>
        <v>4502</v>
      </c>
      <c r="H441" s="9">
        <f t="shared" si="12"/>
        <v>161068.79166666666</v>
      </c>
      <c r="I441" s="9">
        <f t="shared" si="13"/>
        <v>21</v>
      </c>
      <c r="J441" s="4" t="s">
        <v>467</v>
      </c>
    </row>
    <row r="442" spans="1:10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6">
        <f>VLOOKUP(J442,Лист2!$F:$I,2)</f>
        <v>36</v>
      </c>
      <c r="F442" s="6">
        <f>VLOOKUP(J442,Лист2!$F:$I,3)</f>
        <v>4285</v>
      </c>
      <c r="G442" s="6">
        <f>VLOOKUP(J442,Лист2!$F:$I,4)</f>
        <v>3950</v>
      </c>
      <c r="H442" s="6">
        <f t="shared" si="12"/>
        <v>149072.29166666666</v>
      </c>
      <c r="I442" s="6">
        <f t="shared" si="13"/>
        <v>20</v>
      </c>
      <c r="J442" s="4" t="s">
        <v>468</v>
      </c>
    </row>
    <row r="443" spans="1:10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 s="9">
        <f>VLOOKUP(J443,Лист2!$F:$I,2)</f>
        <v>36</v>
      </c>
      <c r="F443" s="9">
        <f>VLOOKUP(J443,Лист2!$F:$I,3)</f>
        <v>4862</v>
      </c>
      <c r="G443" s="9">
        <f>VLOOKUP(J443,Лист2!$F:$I,4)</f>
        <v>4476</v>
      </c>
      <c r="H443" s="9">
        <f t="shared" si="12"/>
        <v>174832</v>
      </c>
      <c r="I443" s="9">
        <f t="shared" si="13"/>
        <v>20</v>
      </c>
      <c r="J443" s="4" t="s">
        <v>469</v>
      </c>
    </row>
    <row r="444" spans="1:10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6">
        <f>VLOOKUP(J444,Лист2!$F:$I,2)</f>
        <v>21</v>
      </c>
      <c r="F444" s="6">
        <f>VLOOKUP(J444,Лист2!$F:$I,3)</f>
        <v>2430</v>
      </c>
      <c r="G444" s="6">
        <f>VLOOKUP(J444,Лист2!$F:$I,4)</f>
        <v>2216</v>
      </c>
      <c r="H444" s="6">
        <f t="shared" si="12"/>
        <v>180040.57142857142</v>
      </c>
      <c r="I444" s="6">
        <f t="shared" si="13"/>
        <v>22</v>
      </c>
      <c r="J444" s="4" t="s">
        <v>470</v>
      </c>
    </row>
    <row r="445" spans="1:10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 s="9">
        <f>VLOOKUP(J445,Лист2!$F:$I,2)</f>
        <v>21</v>
      </c>
      <c r="F445" s="9">
        <f>VLOOKUP(J445,Лист2!$F:$I,3)</f>
        <v>2861</v>
      </c>
      <c r="G445" s="9">
        <f>VLOOKUP(J445,Лист2!$F:$I,4)</f>
        <v>2612</v>
      </c>
      <c r="H445" s="9">
        <f t="shared" si="12"/>
        <v>230515.85714285713</v>
      </c>
      <c r="I445" s="9">
        <f t="shared" si="13"/>
        <v>21</v>
      </c>
      <c r="J445" s="4" t="s">
        <v>471</v>
      </c>
    </row>
    <row r="446" spans="1:10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6">
        <f>VLOOKUP(J446,Лист2!$F:$I,2)</f>
        <v>23</v>
      </c>
      <c r="F446" s="6">
        <f>VLOOKUP(J446,Лист2!$F:$I,3)</f>
        <v>2531</v>
      </c>
      <c r="G446" s="6">
        <f>VLOOKUP(J446,Лист2!$F:$I,4)</f>
        <v>2296</v>
      </c>
      <c r="H446" s="6">
        <f t="shared" si="12"/>
        <v>168054.39130434784</v>
      </c>
      <c r="I446" s="6">
        <f t="shared" si="13"/>
        <v>23</v>
      </c>
      <c r="J446" s="4" t="s">
        <v>472</v>
      </c>
    </row>
    <row r="447" spans="1:10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 s="9">
        <f>VLOOKUP(J447,Лист2!$F:$I,2)</f>
        <v>21</v>
      </c>
      <c r="F447" s="9">
        <f>VLOOKUP(J447,Лист2!$F:$I,3)</f>
        <v>1916</v>
      </c>
      <c r="G447" s="9">
        <f>VLOOKUP(J447,Лист2!$F:$I,4)</f>
        <v>1733</v>
      </c>
      <c r="H447" s="9">
        <f t="shared" si="12"/>
        <v>146649.07142857142</v>
      </c>
      <c r="I447" s="9">
        <f t="shared" si="13"/>
        <v>20</v>
      </c>
      <c r="J447" s="4" t="s">
        <v>473</v>
      </c>
    </row>
    <row r="448" spans="1:10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6">
        <f>VLOOKUP(J448,Лист2!$F:$I,2)</f>
        <v>37</v>
      </c>
      <c r="F448" s="6">
        <f>VLOOKUP(J448,Лист2!$F:$I,3)</f>
        <v>5672</v>
      </c>
      <c r="G448" s="6">
        <f>VLOOKUP(J448,Лист2!$F:$I,4)</f>
        <v>5198</v>
      </c>
      <c r="H448" s="6">
        <f t="shared" si="12"/>
        <v>195362.02702702704</v>
      </c>
      <c r="I448" s="6">
        <f t="shared" si="13"/>
        <v>22</v>
      </c>
      <c r="J448" s="4" t="s">
        <v>474</v>
      </c>
    </row>
    <row r="449" spans="1:10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 s="9">
        <f>VLOOKUP(J449,Лист2!$F:$I,2)</f>
        <v>21</v>
      </c>
      <c r="F449" s="9">
        <f>VLOOKUP(J449,Лист2!$F:$I,3)</f>
        <v>2136</v>
      </c>
      <c r="G449" s="9">
        <f>VLOOKUP(J449,Лист2!$F:$I,4)</f>
        <v>1947</v>
      </c>
      <c r="H449" s="9">
        <f t="shared" si="12"/>
        <v>160006.42857142858</v>
      </c>
      <c r="I449" s="9">
        <f t="shared" si="13"/>
        <v>21</v>
      </c>
      <c r="J449" s="4" t="s">
        <v>475</v>
      </c>
    </row>
    <row r="450" spans="1:10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6">
        <f>VLOOKUP(J450,Лист2!$F:$I,2)</f>
        <v>21</v>
      </c>
      <c r="F450" s="6">
        <f>VLOOKUP(J450,Лист2!$F:$I,3)</f>
        <v>1993</v>
      </c>
      <c r="G450" s="6">
        <f>VLOOKUP(J450,Лист2!$F:$I,4)</f>
        <v>1796</v>
      </c>
      <c r="H450" s="6">
        <f t="shared" si="12"/>
        <v>150784.71428571429</v>
      </c>
      <c r="I450" s="6">
        <f t="shared" si="13"/>
        <v>20</v>
      </c>
      <c r="J450" s="4" t="s">
        <v>476</v>
      </c>
    </row>
    <row r="451" spans="1:10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 s="9">
        <f>VLOOKUP(J451,Лист2!$F:$I,2)</f>
        <v>21</v>
      </c>
      <c r="F451" s="9">
        <f>VLOOKUP(J451,Лист2!$F:$I,3)</f>
        <v>2255</v>
      </c>
      <c r="G451" s="9">
        <f>VLOOKUP(J451,Лист2!$F:$I,4)</f>
        <v>2045</v>
      </c>
      <c r="H451" s="9">
        <f t="shared" ref="H451:H505" si="14">D451/E451</f>
        <v>179631.35714285713</v>
      </c>
      <c r="I451" s="9">
        <f t="shared" ref="I451:I505" si="15">WEEKNUM(A451,2)</f>
        <v>20</v>
      </c>
      <c r="J451" s="4" t="s">
        <v>477</v>
      </c>
    </row>
    <row r="452" spans="1:10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6">
        <f>VLOOKUP(J452,Лист2!$F:$I,2)</f>
        <v>22</v>
      </c>
      <c r="F452" s="6">
        <f>VLOOKUP(J452,Лист2!$F:$I,3)</f>
        <v>2597</v>
      </c>
      <c r="G452" s="6">
        <f>VLOOKUP(J452,Лист2!$F:$I,4)</f>
        <v>2379</v>
      </c>
      <c r="H452" s="6">
        <f t="shared" si="14"/>
        <v>186754.36363636365</v>
      </c>
      <c r="I452" s="6">
        <f t="shared" si="15"/>
        <v>22</v>
      </c>
      <c r="J452" s="4" t="s">
        <v>478</v>
      </c>
    </row>
    <row r="453" spans="1:10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 s="9">
        <f>VLOOKUP(J453,Лист2!$F:$I,2)</f>
        <v>17</v>
      </c>
      <c r="F453" s="9">
        <f>VLOOKUP(J453,Лист2!$F:$I,3)</f>
        <v>1203</v>
      </c>
      <c r="G453" s="9">
        <f>VLOOKUP(J453,Лист2!$F:$I,4)</f>
        <v>1077</v>
      </c>
      <c r="H453" s="9">
        <f t="shared" si="14"/>
        <v>94299.088235294112</v>
      </c>
      <c r="I453" s="9">
        <f t="shared" si="15"/>
        <v>22</v>
      </c>
      <c r="J453" s="4" t="s">
        <v>479</v>
      </c>
    </row>
    <row r="454" spans="1:10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6">
        <f>VLOOKUP(J454,Лист2!$F:$I,2)</f>
        <v>17</v>
      </c>
      <c r="F454" s="6">
        <f>VLOOKUP(J454,Лист2!$F:$I,3)</f>
        <v>1268</v>
      </c>
      <c r="G454" s="6">
        <f>VLOOKUP(J454,Лист2!$F:$I,4)</f>
        <v>1129</v>
      </c>
      <c r="H454" s="6">
        <f t="shared" si="14"/>
        <v>104372.29411764706</v>
      </c>
      <c r="I454" s="6">
        <f t="shared" si="15"/>
        <v>21</v>
      </c>
      <c r="J454" s="4" t="s">
        <v>480</v>
      </c>
    </row>
    <row r="455" spans="1:10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 s="9">
        <f>VLOOKUP(J455,Лист2!$F:$I,2)</f>
        <v>17</v>
      </c>
      <c r="F455" s="9">
        <f>VLOOKUP(J455,Лист2!$F:$I,3)</f>
        <v>1185</v>
      </c>
      <c r="G455" s="9">
        <f>VLOOKUP(J455,Лист2!$F:$I,4)</f>
        <v>1042</v>
      </c>
      <c r="H455" s="9">
        <f t="shared" si="14"/>
        <v>89800.5</v>
      </c>
      <c r="I455" s="9">
        <f t="shared" si="15"/>
        <v>23</v>
      </c>
      <c r="J455" s="4" t="s">
        <v>481</v>
      </c>
    </row>
    <row r="456" spans="1:10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6">
        <f>VLOOKUP(J456,Лист2!$F:$I,2)</f>
        <v>15</v>
      </c>
      <c r="F456" s="6">
        <f>VLOOKUP(J456,Лист2!$F:$I,3)</f>
        <v>812</v>
      </c>
      <c r="G456" s="6">
        <f>VLOOKUP(J456,Лист2!$F:$I,4)</f>
        <v>714</v>
      </c>
      <c r="H456" s="6">
        <f t="shared" si="14"/>
        <v>73066.8</v>
      </c>
      <c r="I456" s="6">
        <f t="shared" si="15"/>
        <v>20</v>
      </c>
      <c r="J456" s="4" t="s">
        <v>482</v>
      </c>
    </row>
    <row r="457" spans="1:10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 s="9">
        <f>VLOOKUP(J457,Лист2!$F:$I,2)</f>
        <v>16</v>
      </c>
      <c r="F457" s="9">
        <f>VLOOKUP(J457,Лист2!$F:$I,3)</f>
        <v>925</v>
      </c>
      <c r="G457" s="9">
        <f>VLOOKUP(J457,Лист2!$F:$I,4)</f>
        <v>816</v>
      </c>
      <c r="H457" s="9">
        <f t="shared" si="14"/>
        <v>77885.15625</v>
      </c>
      <c r="I457" s="9">
        <f t="shared" si="15"/>
        <v>21</v>
      </c>
      <c r="J457" s="4" t="s">
        <v>483</v>
      </c>
    </row>
    <row r="458" spans="1:10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6">
        <f>VLOOKUP(J458,Лист2!$F:$I,2)</f>
        <v>15</v>
      </c>
      <c r="F458" s="6">
        <f>VLOOKUP(J458,Лист2!$F:$I,3)</f>
        <v>890</v>
      </c>
      <c r="G458" s="6">
        <f>VLOOKUP(J458,Лист2!$F:$I,4)</f>
        <v>777</v>
      </c>
      <c r="H458" s="6">
        <f t="shared" si="14"/>
        <v>81566.100000000006</v>
      </c>
      <c r="I458" s="6">
        <f t="shared" si="15"/>
        <v>20</v>
      </c>
      <c r="J458" s="4" t="s">
        <v>484</v>
      </c>
    </row>
    <row r="459" spans="1:10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 s="9">
        <f>VLOOKUP(J459,Лист2!$F:$I,2)</f>
        <v>15</v>
      </c>
      <c r="F459" s="9">
        <f>VLOOKUP(J459,Лист2!$F:$I,3)</f>
        <v>980</v>
      </c>
      <c r="G459" s="9">
        <f>VLOOKUP(J459,Лист2!$F:$I,4)</f>
        <v>867</v>
      </c>
      <c r="H459" s="9">
        <f t="shared" si="14"/>
        <v>91365.5</v>
      </c>
      <c r="I459" s="9">
        <f t="shared" si="15"/>
        <v>20</v>
      </c>
      <c r="J459" s="4" t="s">
        <v>485</v>
      </c>
    </row>
    <row r="460" spans="1:10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6">
        <f>VLOOKUP(J460,Лист2!$F:$I,2)</f>
        <v>15</v>
      </c>
      <c r="F460" s="6">
        <f>VLOOKUP(J460,Лист2!$F:$I,3)</f>
        <v>809</v>
      </c>
      <c r="G460" s="6">
        <f>VLOOKUP(J460,Лист2!$F:$I,4)</f>
        <v>702</v>
      </c>
      <c r="H460" s="6">
        <f t="shared" si="14"/>
        <v>80763.8</v>
      </c>
      <c r="I460" s="6">
        <f t="shared" si="15"/>
        <v>22</v>
      </c>
      <c r="J460" s="4" t="s">
        <v>486</v>
      </c>
    </row>
    <row r="461" spans="1:10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 s="9">
        <f>VLOOKUP(J461,Лист2!$F:$I,2)</f>
        <v>15</v>
      </c>
      <c r="F461" s="9">
        <f>VLOOKUP(J461,Лист2!$F:$I,3)</f>
        <v>903</v>
      </c>
      <c r="G461" s="9">
        <f>VLOOKUP(J461,Лист2!$F:$I,4)</f>
        <v>792</v>
      </c>
      <c r="H461" s="9">
        <f t="shared" si="14"/>
        <v>94127.3</v>
      </c>
      <c r="I461" s="9">
        <f t="shared" si="15"/>
        <v>21</v>
      </c>
      <c r="J461" s="4" t="s">
        <v>487</v>
      </c>
    </row>
    <row r="462" spans="1:10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6">
        <f>VLOOKUP(J462,Лист2!$F:$I,2)</f>
        <v>16</v>
      </c>
      <c r="F462" s="6">
        <f>VLOOKUP(J462,Лист2!$F:$I,3)</f>
        <v>1019</v>
      </c>
      <c r="G462" s="6">
        <f>VLOOKUP(J462,Лист2!$F:$I,4)</f>
        <v>895</v>
      </c>
      <c r="H462" s="6">
        <f t="shared" si="14"/>
        <v>97852.03125</v>
      </c>
      <c r="I462" s="6">
        <f t="shared" si="15"/>
        <v>23</v>
      </c>
      <c r="J462" s="4" t="s">
        <v>488</v>
      </c>
    </row>
    <row r="463" spans="1:10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 s="9">
        <f>VLOOKUP(J463,Лист2!$F:$I,2)</f>
        <v>15</v>
      </c>
      <c r="F463" s="9">
        <f>VLOOKUP(J463,Лист2!$F:$I,3)</f>
        <v>684</v>
      </c>
      <c r="G463" s="9">
        <f>VLOOKUP(J463,Лист2!$F:$I,4)</f>
        <v>585</v>
      </c>
      <c r="H463" s="9">
        <f t="shared" si="14"/>
        <v>72077.2</v>
      </c>
      <c r="I463" s="9">
        <f t="shared" si="15"/>
        <v>20</v>
      </c>
      <c r="J463" s="4" t="s">
        <v>489</v>
      </c>
    </row>
    <row r="464" spans="1:10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6">
        <f>VLOOKUP(J464,Лист2!$F:$I,2)</f>
        <v>17</v>
      </c>
      <c r="F464" s="6">
        <f>VLOOKUP(J464,Лист2!$F:$I,3)</f>
        <v>1296</v>
      </c>
      <c r="G464" s="6">
        <f>VLOOKUP(J464,Лист2!$F:$I,4)</f>
        <v>1153</v>
      </c>
      <c r="H464" s="6">
        <f t="shared" si="14"/>
        <v>103804.05882352941</v>
      </c>
      <c r="I464" s="6">
        <f t="shared" si="15"/>
        <v>22</v>
      </c>
      <c r="J464" s="4" t="s">
        <v>490</v>
      </c>
    </row>
    <row r="465" spans="1:10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 s="9">
        <f>VLOOKUP(J465,Лист2!$F:$I,2)</f>
        <v>15</v>
      </c>
      <c r="F465" s="9">
        <f>VLOOKUP(J465,Лист2!$F:$I,3)</f>
        <v>729</v>
      </c>
      <c r="G465" s="9">
        <f>VLOOKUP(J465,Лист2!$F:$I,4)</f>
        <v>636</v>
      </c>
      <c r="H465" s="9">
        <f t="shared" si="14"/>
        <v>74343.100000000006</v>
      </c>
      <c r="I465" s="9">
        <f t="shared" si="15"/>
        <v>21</v>
      </c>
      <c r="J465" s="4" t="s">
        <v>491</v>
      </c>
    </row>
    <row r="466" spans="1:10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6">
        <f>VLOOKUP(J466,Лист2!$F:$I,2)</f>
        <v>15</v>
      </c>
      <c r="F466" s="6">
        <f>VLOOKUP(J466,Лист2!$F:$I,3)</f>
        <v>638</v>
      </c>
      <c r="G466" s="6">
        <f>VLOOKUP(J466,Лист2!$F:$I,4)</f>
        <v>548</v>
      </c>
      <c r="H466" s="6">
        <f t="shared" si="14"/>
        <v>64233.5</v>
      </c>
      <c r="I466" s="6">
        <f t="shared" si="15"/>
        <v>20</v>
      </c>
      <c r="J466" s="4" t="s">
        <v>492</v>
      </c>
    </row>
    <row r="467" spans="1:10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 s="9">
        <f>VLOOKUP(J467,Лист2!$F:$I,2)</f>
        <v>15</v>
      </c>
      <c r="F467" s="9">
        <f>VLOOKUP(J467,Лист2!$F:$I,3)</f>
        <v>688</v>
      </c>
      <c r="G467" s="9">
        <f>VLOOKUP(J467,Лист2!$F:$I,4)</f>
        <v>598</v>
      </c>
      <c r="H467" s="9">
        <f t="shared" si="14"/>
        <v>74848.7</v>
      </c>
      <c r="I467" s="9">
        <f t="shared" si="15"/>
        <v>20</v>
      </c>
      <c r="J467" s="4" t="s">
        <v>493</v>
      </c>
    </row>
    <row r="468" spans="1:10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6">
        <f>VLOOKUP(J468,Лист2!$F:$I,2)</f>
        <v>20</v>
      </c>
      <c r="F468" s="6">
        <f>VLOOKUP(J468,Лист2!$F:$I,3)</f>
        <v>1873</v>
      </c>
      <c r="G468" s="6">
        <f>VLOOKUP(J468,Лист2!$F:$I,4)</f>
        <v>1715</v>
      </c>
      <c r="H468" s="6">
        <f t="shared" si="14"/>
        <v>122927.77499999999</v>
      </c>
      <c r="I468" s="6">
        <f t="shared" si="15"/>
        <v>22</v>
      </c>
      <c r="J468" s="4" t="s">
        <v>494</v>
      </c>
    </row>
    <row r="469" spans="1:10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 s="9">
        <f>VLOOKUP(J469,Лист2!$F:$I,2)</f>
        <v>19</v>
      </c>
      <c r="F469" s="9">
        <f>VLOOKUP(J469,Лист2!$F:$I,3)</f>
        <v>1859</v>
      </c>
      <c r="G469" s="9">
        <f>VLOOKUP(J469,Лист2!$F:$I,4)</f>
        <v>1697</v>
      </c>
      <c r="H469" s="9">
        <f t="shared" si="14"/>
        <v>133721.84210526315</v>
      </c>
      <c r="I469" s="9">
        <f t="shared" si="15"/>
        <v>21</v>
      </c>
      <c r="J469" s="4" t="s">
        <v>495</v>
      </c>
    </row>
    <row r="470" spans="1:10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6">
        <f>VLOOKUP(J470,Лист2!$F:$I,2)</f>
        <v>21</v>
      </c>
      <c r="F470" s="6">
        <f>VLOOKUP(J470,Лист2!$F:$I,3)</f>
        <v>1879</v>
      </c>
      <c r="G470" s="6">
        <f>VLOOKUP(J470,Лист2!$F:$I,4)</f>
        <v>1720</v>
      </c>
      <c r="H470" s="6">
        <f t="shared" si="14"/>
        <v>120903.21428571429</v>
      </c>
      <c r="I470" s="6">
        <f t="shared" si="15"/>
        <v>23</v>
      </c>
      <c r="J470" s="4" t="s">
        <v>496</v>
      </c>
    </row>
    <row r="471" spans="1:10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 s="9">
        <f>VLOOKUP(J471,Лист2!$F:$I,2)</f>
        <v>19</v>
      </c>
      <c r="F471" s="9">
        <f>VLOOKUP(J471,Лист2!$F:$I,3)</f>
        <v>1527</v>
      </c>
      <c r="G471" s="9">
        <f>VLOOKUP(J471,Лист2!$F:$I,4)</f>
        <v>1389</v>
      </c>
      <c r="H471" s="9">
        <f t="shared" si="14"/>
        <v>113913.94736842105</v>
      </c>
      <c r="I471" s="9">
        <f t="shared" si="15"/>
        <v>20</v>
      </c>
      <c r="J471" s="4" t="s">
        <v>497</v>
      </c>
    </row>
    <row r="472" spans="1:10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6">
        <f>VLOOKUP(J472,Лист2!$F:$I,2)</f>
        <v>16</v>
      </c>
      <c r="F472" s="6">
        <f>VLOOKUP(J472,Лист2!$F:$I,3)</f>
        <v>981</v>
      </c>
      <c r="G472" s="6">
        <f>VLOOKUP(J472,Лист2!$F:$I,4)</f>
        <v>859</v>
      </c>
      <c r="H472" s="6">
        <f t="shared" si="14"/>
        <v>96813.75</v>
      </c>
      <c r="I472" s="6">
        <f t="shared" si="15"/>
        <v>22</v>
      </c>
      <c r="J472" s="4" t="s">
        <v>498</v>
      </c>
    </row>
    <row r="473" spans="1:10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 s="9">
        <f>VLOOKUP(J473,Лист2!$F:$I,2)</f>
        <v>19</v>
      </c>
      <c r="F473" s="9">
        <f>VLOOKUP(J473,Лист2!$F:$I,3)</f>
        <v>1741</v>
      </c>
      <c r="G473" s="9">
        <f>VLOOKUP(J473,Лист2!$F:$I,4)</f>
        <v>1597</v>
      </c>
      <c r="H473" s="9">
        <f t="shared" si="14"/>
        <v>122341.57894736843</v>
      </c>
      <c r="I473" s="9">
        <f t="shared" si="15"/>
        <v>21</v>
      </c>
      <c r="J473" s="4" t="s">
        <v>499</v>
      </c>
    </row>
    <row r="474" spans="1:10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6">
        <f>VLOOKUP(J474,Лист2!$F:$I,2)</f>
        <v>19</v>
      </c>
      <c r="F474" s="6">
        <f>VLOOKUP(J474,Лист2!$F:$I,3)</f>
        <v>1635</v>
      </c>
      <c r="G474" s="6">
        <f>VLOOKUP(J474,Лист2!$F:$I,4)</f>
        <v>1487</v>
      </c>
      <c r="H474" s="6">
        <f t="shared" si="14"/>
        <v>117123.23684210527</v>
      </c>
      <c r="I474" s="6">
        <f t="shared" si="15"/>
        <v>20</v>
      </c>
      <c r="J474" s="4" t="s">
        <v>500</v>
      </c>
    </row>
    <row r="475" spans="1:10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 s="9">
        <f>VLOOKUP(J475,Лист2!$F:$I,2)</f>
        <v>19</v>
      </c>
      <c r="F475" s="9">
        <f>VLOOKUP(J475,Лист2!$F:$I,3)</f>
        <v>1780</v>
      </c>
      <c r="G475" s="9">
        <f>VLOOKUP(J475,Лист2!$F:$I,4)</f>
        <v>1615</v>
      </c>
      <c r="H475" s="9">
        <f t="shared" si="14"/>
        <v>130394.05263157895</v>
      </c>
      <c r="I475" s="9">
        <f t="shared" si="15"/>
        <v>20</v>
      </c>
      <c r="J475" s="4" t="s">
        <v>501</v>
      </c>
    </row>
    <row r="476" spans="1:10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6">
        <f>VLOOKUP(J476,Лист2!$F:$I,2)</f>
        <v>20</v>
      </c>
      <c r="F476" s="6">
        <f>VLOOKUP(J476,Лист2!$F:$I,3)</f>
        <v>2064</v>
      </c>
      <c r="G476" s="6">
        <f>VLOOKUP(J476,Лист2!$F:$I,4)</f>
        <v>1896</v>
      </c>
      <c r="H476" s="6">
        <f t="shared" si="14"/>
        <v>142737.07500000001</v>
      </c>
      <c r="I476" s="6">
        <f t="shared" si="15"/>
        <v>22</v>
      </c>
      <c r="J476" s="4" t="s">
        <v>502</v>
      </c>
    </row>
    <row r="477" spans="1:10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 s="9">
        <f>VLOOKUP(J477,Лист2!$F:$I,2)</f>
        <v>59</v>
      </c>
      <c r="F477" s="9">
        <f>VLOOKUP(J477,Лист2!$F:$I,3)</f>
        <v>13942</v>
      </c>
      <c r="G477" s="9">
        <f>VLOOKUP(J477,Лист2!$F:$I,4)</f>
        <v>12986</v>
      </c>
      <c r="H477" s="9">
        <f t="shared" si="14"/>
        <v>378683.05932203389</v>
      </c>
      <c r="I477" s="9">
        <f t="shared" si="15"/>
        <v>22</v>
      </c>
      <c r="J477" s="4" t="s">
        <v>503</v>
      </c>
    </row>
    <row r="478" spans="1:10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6">
        <f>VLOOKUP(J478,Лист2!$F:$I,2)</f>
        <v>60</v>
      </c>
      <c r="F478" s="6">
        <f>VLOOKUP(J478,Лист2!$F:$I,3)</f>
        <v>14050</v>
      </c>
      <c r="G478" s="6">
        <f>VLOOKUP(J478,Лист2!$F:$I,4)</f>
        <v>13027</v>
      </c>
      <c r="H478" s="6">
        <f t="shared" si="14"/>
        <v>373012.875</v>
      </c>
      <c r="I478" s="6">
        <f t="shared" si="15"/>
        <v>21</v>
      </c>
      <c r="J478" s="4" t="s">
        <v>504</v>
      </c>
    </row>
    <row r="479" spans="1:10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 s="9">
        <f>VLOOKUP(J479,Лист2!$F:$I,2)</f>
        <v>59</v>
      </c>
      <c r="F479" s="9">
        <f>VLOOKUP(J479,Лист2!$F:$I,3)</f>
        <v>12299</v>
      </c>
      <c r="G479" s="9">
        <f>VLOOKUP(J479,Лист2!$F:$I,4)</f>
        <v>11448</v>
      </c>
      <c r="H479" s="9">
        <f t="shared" si="14"/>
        <v>329921.56779661018</v>
      </c>
      <c r="I479" s="9">
        <f t="shared" si="15"/>
        <v>23</v>
      </c>
      <c r="J479" s="4" t="s">
        <v>505</v>
      </c>
    </row>
    <row r="480" spans="1:10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6">
        <f>VLOOKUP(J480,Лист2!$F:$I,2)</f>
        <v>60</v>
      </c>
      <c r="F480" s="6">
        <f>VLOOKUP(J480,Лист2!$F:$I,3)</f>
        <v>11100</v>
      </c>
      <c r="G480" s="6">
        <f>VLOOKUP(J480,Лист2!$F:$I,4)</f>
        <v>10407</v>
      </c>
      <c r="H480" s="6">
        <f t="shared" si="14"/>
        <v>298652.40000000002</v>
      </c>
      <c r="I480" s="6">
        <f t="shared" si="15"/>
        <v>20</v>
      </c>
      <c r="J480" s="4" t="s">
        <v>506</v>
      </c>
    </row>
    <row r="481" spans="1:10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 s="9">
        <f>VLOOKUP(J481,Лист2!$F:$I,2)</f>
        <v>60</v>
      </c>
      <c r="F481" s="9">
        <f>VLOOKUP(J481,Лист2!$F:$I,3)</f>
        <v>12460</v>
      </c>
      <c r="G481" s="9">
        <f>VLOOKUP(J481,Лист2!$F:$I,4)</f>
        <v>11665</v>
      </c>
      <c r="H481" s="9">
        <f t="shared" si="14"/>
        <v>340373.92499999999</v>
      </c>
      <c r="I481" s="9">
        <f t="shared" si="15"/>
        <v>21</v>
      </c>
      <c r="J481" s="4" t="s">
        <v>507</v>
      </c>
    </row>
    <row r="482" spans="1:10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6">
        <f>VLOOKUP(J482,Лист2!$F:$I,2)</f>
        <v>60</v>
      </c>
      <c r="F482" s="6">
        <f>VLOOKUP(J482,Лист2!$F:$I,3)</f>
        <v>11935</v>
      </c>
      <c r="G482" s="6">
        <f>VLOOKUP(J482,Лист2!$F:$I,4)</f>
        <v>11178</v>
      </c>
      <c r="H482" s="6">
        <f t="shared" si="14"/>
        <v>332373.92499999999</v>
      </c>
      <c r="I482" s="6">
        <f t="shared" si="15"/>
        <v>20</v>
      </c>
      <c r="J482" s="4" t="s">
        <v>508</v>
      </c>
    </row>
    <row r="483" spans="1:10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 s="9">
        <f>VLOOKUP(J483,Лист2!$F:$I,2)</f>
        <v>60</v>
      </c>
      <c r="F483" s="9">
        <f>VLOOKUP(J483,Лист2!$F:$I,3)</f>
        <v>13544</v>
      </c>
      <c r="G483" s="9">
        <f>VLOOKUP(J483,Лист2!$F:$I,4)</f>
        <v>12643</v>
      </c>
      <c r="H483" s="9">
        <f t="shared" si="14"/>
        <v>384753.7</v>
      </c>
      <c r="I483" s="9">
        <f t="shared" si="15"/>
        <v>20</v>
      </c>
      <c r="J483" s="4" t="s">
        <v>509</v>
      </c>
    </row>
    <row r="484" spans="1:10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6">
        <f>VLOOKUP(J484,Лист2!$F:$I,2)</f>
        <v>54</v>
      </c>
      <c r="F484" s="6">
        <f>VLOOKUP(J484,Лист2!$F:$I,3)</f>
        <v>13091</v>
      </c>
      <c r="G484" s="6">
        <f>VLOOKUP(J484,Лист2!$F:$I,4)</f>
        <v>12216</v>
      </c>
      <c r="H484" s="6">
        <f t="shared" si="14"/>
        <v>388024.52777777775</v>
      </c>
      <c r="I484" s="6">
        <f t="shared" si="15"/>
        <v>22</v>
      </c>
      <c r="J484" s="4" t="s">
        <v>510</v>
      </c>
    </row>
    <row r="485" spans="1:10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 s="9">
        <f>VLOOKUP(J485,Лист2!$F:$I,2)</f>
        <v>54</v>
      </c>
      <c r="F485" s="9">
        <f>VLOOKUP(J485,Лист2!$F:$I,3)</f>
        <v>13014</v>
      </c>
      <c r="G485" s="9">
        <f>VLOOKUP(J485,Лист2!$F:$I,4)</f>
        <v>12095</v>
      </c>
      <c r="H485" s="9">
        <f t="shared" si="14"/>
        <v>385418.25</v>
      </c>
      <c r="I485" s="9">
        <f t="shared" si="15"/>
        <v>21</v>
      </c>
      <c r="J485" s="4" t="s">
        <v>511</v>
      </c>
    </row>
    <row r="486" spans="1:10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6">
        <f>VLOOKUP(J486,Лист2!$F:$I,2)</f>
        <v>54</v>
      </c>
      <c r="F486" s="6">
        <f>VLOOKUP(J486,Лист2!$F:$I,3)</f>
        <v>11864</v>
      </c>
      <c r="G486" s="6">
        <f>VLOOKUP(J486,Лист2!$F:$I,4)</f>
        <v>11071</v>
      </c>
      <c r="H486" s="6">
        <f t="shared" si="14"/>
        <v>350262.86111111112</v>
      </c>
      <c r="I486" s="6">
        <f t="shared" si="15"/>
        <v>23</v>
      </c>
      <c r="J486" s="4" t="s">
        <v>512</v>
      </c>
    </row>
    <row r="487" spans="1:10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 s="9">
        <f>VLOOKUP(J487,Лист2!$F:$I,2)</f>
        <v>54</v>
      </c>
      <c r="F487" s="9">
        <f>VLOOKUP(J487,Лист2!$F:$I,3)</f>
        <v>10570</v>
      </c>
      <c r="G487" s="9">
        <f>VLOOKUP(J487,Лист2!$F:$I,4)</f>
        <v>9926</v>
      </c>
      <c r="H487" s="9">
        <f t="shared" si="14"/>
        <v>314282.05555555556</v>
      </c>
      <c r="I487" s="9">
        <f t="shared" si="15"/>
        <v>20</v>
      </c>
      <c r="J487" s="4" t="s">
        <v>513</v>
      </c>
    </row>
    <row r="488" spans="1:10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6">
        <f>VLOOKUP(J488,Лист2!$F:$I,2)</f>
        <v>59</v>
      </c>
      <c r="F488" s="6">
        <f>VLOOKUP(J488,Лист2!$F:$I,3)</f>
        <v>14507</v>
      </c>
      <c r="G488" s="6">
        <f>VLOOKUP(J488,Лист2!$F:$I,4)</f>
        <v>13386</v>
      </c>
      <c r="H488" s="6">
        <f t="shared" si="14"/>
        <v>391871.92372881353</v>
      </c>
      <c r="I488" s="6">
        <f t="shared" si="15"/>
        <v>22</v>
      </c>
      <c r="J488" s="4" t="s">
        <v>514</v>
      </c>
    </row>
    <row r="489" spans="1:10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 s="9">
        <f>VLOOKUP(J489,Лист2!$F:$I,2)</f>
        <v>54</v>
      </c>
      <c r="F489" s="9">
        <f>VLOOKUP(J489,Лист2!$F:$I,3)</f>
        <v>12012</v>
      </c>
      <c r="G489" s="9">
        <f>VLOOKUP(J489,Лист2!$F:$I,4)</f>
        <v>11308</v>
      </c>
      <c r="H489" s="9">
        <f t="shared" si="14"/>
        <v>367687.44444444444</v>
      </c>
      <c r="I489" s="9">
        <f t="shared" si="15"/>
        <v>21</v>
      </c>
      <c r="J489" s="4" t="s">
        <v>515</v>
      </c>
    </row>
    <row r="490" spans="1:10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6">
        <f>VLOOKUP(J490,Лист2!$F:$I,2)</f>
        <v>54</v>
      </c>
      <c r="F490" s="6">
        <f>VLOOKUP(J490,Лист2!$F:$I,3)</f>
        <v>11194</v>
      </c>
      <c r="G490" s="6">
        <f>VLOOKUP(J490,Лист2!$F:$I,4)</f>
        <v>10554</v>
      </c>
      <c r="H490" s="6">
        <f t="shared" si="14"/>
        <v>345203.66666666669</v>
      </c>
      <c r="I490" s="6">
        <f t="shared" si="15"/>
        <v>20</v>
      </c>
      <c r="J490" s="4" t="s">
        <v>516</v>
      </c>
    </row>
    <row r="491" spans="1:10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 s="9">
        <f>VLOOKUP(J491,Лист2!$F:$I,2)</f>
        <v>54</v>
      </c>
      <c r="F491" s="9">
        <f>VLOOKUP(J491,Лист2!$F:$I,3)</f>
        <v>12791</v>
      </c>
      <c r="G491" s="9">
        <f>VLOOKUP(J491,Лист2!$F:$I,4)</f>
        <v>11950</v>
      </c>
      <c r="H491" s="9">
        <f t="shared" si="14"/>
        <v>405468.41666666669</v>
      </c>
      <c r="I491" s="9">
        <f t="shared" si="15"/>
        <v>20</v>
      </c>
      <c r="J491" s="4" t="s">
        <v>517</v>
      </c>
    </row>
    <row r="492" spans="1:10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6">
        <f>VLOOKUP(J492,Лист2!$F:$I,2)</f>
        <v>54</v>
      </c>
      <c r="F492" s="6">
        <f>VLOOKUP(J492,Лист2!$F:$I,3)</f>
        <v>14031</v>
      </c>
      <c r="G492" s="6">
        <f>VLOOKUP(J492,Лист2!$F:$I,4)</f>
        <v>12943</v>
      </c>
      <c r="H492" s="6">
        <f t="shared" si="14"/>
        <v>415113.91666666669</v>
      </c>
      <c r="I492" s="6">
        <f t="shared" si="15"/>
        <v>22</v>
      </c>
      <c r="J492" s="4" t="s">
        <v>518</v>
      </c>
    </row>
    <row r="493" spans="1:10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 s="9">
        <f>VLOOKUP(J493,Лист2!$F:$I,2)</f>
        <v>7</v>
      </c>
      <c r="F493" s="9">
        <f>VLOOKUP(J493,Лист2!$F:$I,3)</f>
        <v>409</v>
      </c>
      <c r="G493" s="9">
        <f>VLOOKUP(J493,Лист2!$F:$I,4)</f>
        <v>329</v>
      </c>
      <c r="H493" s="9">
        <f t="shared" si="14"/>
        <v>98240.571428571435</v>
      </c>
      <c r="I493" s="9">
        <f t="shared" si="15"/>
        <v>22</v>
      </c>
      <c r="J493" s="4" t="s">
        <v>519</v>
      </c>
    </row>
    <row r="494" spans="1:10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6">
        <f>VLOOKUP(J494,Лист2!$F:$I,2)</f>
        <v>18</v>
      </c>
      <c r="F494" s="6">
        <f>VLOOKUP(J494,Лист2!$F:$I,3)</f>
        <v>985</v>
      </c>
      <c r="G494" s="6">
        <f>VLOOKUP(J494,Лист2!$F:$I,4)</f>
        <v>861</v>
      </c>
      <c r="H494" s="6">
        <f t="shared" si="14"/>
        <v>77709.5</v>
      </c>
      <c r="I494" s="6">
        <f t="shared" si="15"/>
        <v>21</v>
      </c>
      <c r="J494" s="4" t="s">
        <v>520</v>
      </c>
    </row>
    <row r="495" spans="1:10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 s="9">
        <f>VLOOKUP(J495,Лист2!$F:$I,2)</f>
        <v>9</v>
      </c>
      <c r="F495" s="9">
        <f>VLOOKUP(J495,Лист2!$F:$I,3)</f>
        <v>294</v>
      </c>
      <c r="G495" s="9">
        <f>VLOOKUP(J495,Лист2!$F:$I,4)</f>
        <v>224</v>
      </c>
      <c r="H495" s="9">
        <f t="shared" si="14"/>
        <v>43223.666666666664</v>
      </c>
      <c r="I495" s="9">
        <f t="shared" si="15"/>
        <v>23</v>
      </c>
      <c r="J495" s="4" t="s">
        <v>521</v>
      </c>
    </row>
    <row r="496" spans="1:10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6">
        <f>VLOOKUP(J496,Лист2!$F:$I,2)</f>
        <v>15</v>
      </c>
      <c r="F496" s="6">
        <f>VLOOKUP(J496,Лист2!$F:$I,3)</f>
        <v>654</v>
      </c>
      <c r="G496" s="6">
        <f>VLOOKUP(J496,Лист2!$F:$I,4)</f>
        <v>564</v>
      </c>
      <c r="H496" s="6">
        <f t="shared" si="14"/>
        <v>58690.400000000001</v>
      </c>
      <c r="I496" s="6">
        <f t="shared" si="15"/>
        <v>20</v>
      </c>
      <c r="J496" s="4" t="s">
        <v>522</v>
      </c>
    </row>
    <row r="497" spans="1:10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 s="9">
        <f>VLOOKUP(J497,Лист2!$F:$I,2)</f>
        <v>16</v>
      </c>
      <c r="F497" s="9">
        <f>VLOOKUP(J497,Лист2!$F:$I,3)</f>
        <v>864</v>
      </c>
      <c r="G497" s="9">
        <f>VLOOKUP(J497,Лист2!$F:$I,4)</f>
        <v>765</v>
      </c>
      <c r="H497" s="9">
        <f t="shared" si="14"/>
        <v>76919.4375</v>
      </c>
      <c r="I497" s="9">
        <f t="shared" si="15"/>
        <v>21</v>
      </c>
      <c r="J497" s="4" t="s">
        <v>523</v>
      </c>
    </row>
    <row r="498" spans="1:10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6">
        <f>VLOOKUP(J498,Лист2!$F:$I,2)</f>
        <v>16</v>
      </c>
      <c r="F498" s="6">
        <f>VLOOKUP(J498,Лист2!$F:$I,3)</f>
        <v>834</v>
      </c>
      <c r="G498" s="6">
        <f>VLOOKUP(J498,Лист2!$F:$I,4)</f>
        <v>735</v>
      </c>
      <c r="H498" s="6">
        <f t="shared" si="14"/>
        <v>70729.78125</v>
      </c>
      <c r="I498" s="6">
        <f t="shared" si="15"/>
        <v>20</v>
      </c>
      <c r="J498" s="4" t="s">
        <v>524</v>
      </c>
    </row>
    <row r="499" spans="1:10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 s="9">
        <f>VLOOKUP(J499,Лист2!$F:$I,2)</f>
        <v>16</v>
      </c>
      <c r="F499" s="9">
        <f>VLOOKUP(J499,Лист2!$F:$I,3)</f>
        <v>817</v>
      </c>
      <c r="G499" s="9">
        <f>VLOOKUP(J499,Лист2!$F:$I,4)</f>
        <v>718</v>
      </c>
      <c r="H499" s="9">
        <f t="shared" si="14"/>
        <v>68190</v>
      </c>
      <c r="I499" s="9">
        <f t="shared" si="15"/>
        <v>20</v>
      </c>
      <c r="J499" s="4" t="s">
        <v>525</v>
      </c>
    </row>
    <row r="500" spans="1:10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6">
        <f>VLOOKUP(J500,Лист2!$F:$I,2)</f>
        <v>18</v>
      </c>
      <c r="F500" s="6">
        <f>VLOOKUP(J500,Лист2!$F:$I,3)</f>
        <v>962</v>
      </c>
      <c r="G500" s="6">
        <f>VLOOKUP(J500,Лист2!$F:$I,4)</f>
        <v>859</v>
      </c>
      <c r="H500" s="6">
        <f t="shared" si="14"/>
        <v>75011.083333333328</v>
      </c>
      <c r="I500" s="6">
        <f t="shared" si="15"/>
        <v>22</v>
      </c>
      <c r="J500" s="4" t="s">
        <v>526</v>
      </c>
    </row>
    <row r="501" spans="1:10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 s="9">
        <f>VLOOKUP(J501,Лист2!$F:$I,2)</f>
        <v>6</v>
      </c>
      <c r="F501" s="9">
        <f>VLOOKUP(J501,Лист2!$F:$I,3)</f>
        <v>237</v>
      </c>
      <c r="G501" s="9">
        <f>VLOOKUP(J501,Лист2!$F:$I,4)</f>
        <v>175</v>
      </c>
      <c r="H501" s="9">
        <f t="shared" si="14"/>
        <v>68482</v>
      </c>
      <c r="I501" s="9">
        <f t="shared" si="15"/>
        <v>23</v>
      </c>
      <c r="J501" s="4" t="s">
        <v>527</v>
      </c>
    </row>
    <row r="502" spans="1:10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6">
        <f>VLOOKUP(J502,Лист2!$F:$I,2)</f>
        <v>7</v>
      </c>
      <c r="F502" s="6">
        <f>VLOOKUP(J502,Лист2!$F:$I,3)</f>
        <v>491</v>
      </c>
      <c r="G502" s="6">
        <f>VLOOKUP(J502,Лист2!$F:$I,4)</f>
        <v>411</v>
      </c>
      <c r="H502" s="6">
        <f t="shared" si="14"/>
        <v>121548.64285714286</v>
      </c>
      <c r="I502" s="6">
        <f t="shared" si="15"/>
        <v>22</v>
      </c>
      <c r="J502" s="4" t="s">
        <v>528</v>
      </c>
    </row>
    <row r="503" spans="1:10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 s="9">
        <f>VLOOKUP(J503,Лист2!$F:$I,2)</f>
        <v>7</v>
      </c>
      <c r="F503" s="9">
        <f>VLOOKUP(J503,Лист2!$F:$I,3)</f>
        <v>500</v>
      </c>
      <c r="G503" s="9">
        <f>VLOOKUP(J503,Лист2!$F:$I,4)</f>
        <v>418</v>
      </c>
      <c r="H503" s="9">
        <f t="shared" si="14"/>
        <v>114635.35714285714</v>
      </c>
      <c r="I503" s="9">
        <f t="shared" si="15"/>
        <v>23</v>
      </c>
      <c r="J503" s="4" t="s">
        <v>529</v>
      </c>
    </row>
    <row r="504" spans="1:10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6">
        <f>VLOOKUP(J504,Лист2!$F:$I,2)</f>
        <v>18</v>
      </c>
      <c r="F504" s="6">
        <f>VLOOKUP(J504,Лист2!$F:$I,3)</f>
        <v>1014</v>
      </c>
      <c r="G504" s="6">
        <f>VLOOKUP(J504,Лист2!$F:$I,4)</f>
        <v>893</v>
      </c>
      <c r="H504" s="6">
        <f t="shared" si="14"/>
        <v>79903.083333333328</v>
      </c>
      <c r="I504" s="6">
        <f t="shared" si="15"/>
        <v>22</v>
      </c>
      <c r="J504" s="4" t="s">
        <v>530</v>
      </c>
    </row>
    <row r="505" spans="1:10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11">
        <f>VLOOKUP(J505,Лист2!$F:$I,2)</f>
        <v>18</v>
      </c>
      <c r="F505" s="11">
        <f>VLOOKUP(J505,Лист2!$F:$I,3)</f>
        <v>923</v>
      </c>
      <c r="G505" s="11">
        <f>VLOOKUP(J505,Лист2!$F:$I,4)</f>
        <v>824</v>
      </c>
      <c r="H505" s="11">
        <f t="shared" si="14"/>
        <v>71845.5</v>
      </c>
      <c r="I505" s="11">
        <f t="shared" si="15"/>
        <v>23</v>
      </c>
      <c r="J505" s="4" t="s">
        <v>531</v>
      </c>
    </row>
    <row r="506" spans="1:10" ht="14.25" customHeight="1" x14ac:dyDescent="0.25"/>
    <row r="507" spans="1:10" ht="14.25" customHeight="1" x14ac:dyDescent="0.25"/>
    <row r="508" spans="1:10" ht="14.25" customHeight="1" x14ac:dyDescent="0.25"/>
    <row r="509" spans="1:10" ht="14.25" customHeight="1" x14ac:dyDescent="0.25"/>
    <row r="510" spans="1:10" ht="14.25" customHeight="1" x14ac:dyDescent="0.25"/>
    <row r="511" spans="1:10" ht="14.25" customHeight="1" x14ac:dyDescent="0.25"/>
    <row r="512" spans="1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A505" sqref="A505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6" width="8.7109375" customWidth="1"/>
    <col min="7" max="7" width="22.7109375" customWidth="1"/>
    <col min="8" max="8" width="22.140625" customWidth="1"/>
    <col min="9" max="9" width="25.42578125" customWidth="1"/>
    <col min="10" max="26" width="8.7109375" customWidth="1"/>
  </cols>
  <sheetData>
    <row r="1" spans="1:9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t="s">
        <v>27</v>
      </c>
      <c r="G1" s="3" t="s">
        <v>4</v>
      </c>
      <c r="H1" s="3" t="s">
        <v>5</v>
      </c>
      <c r="I1" s="3" t="s">
        <v>6</v>
      </c>
    </row>
    <row r="2" spans="1:9" ht="14.25" customHeight="1" x14ac:dyDescent="0.25">
      <c r="A2" s="12">
        <v>43949</v>
      </c>
      <c r="B2" s="14" t="s">
        <v>16</v>
      </c>
      <c r="C2" s="7">
        <v>36</v>
      </c>
      <c r="D2" s="7">
        <v>4923</v>
      </c>
      <c r="E2" s="7">
        <v>4560</v>
      </c>
      <c r="F2" t="s">
        <v>203</v>
      </c>
      <c r="G2" s="7">
        <v>36</v>
      </c>
      <c r="H2" s="7">
        <v>4923</v>
      </c>
      <c r="I2" s="7">
        <v>4560</v>
      </c>
    </row>
    <row r="3" spans="1:9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  <c r="F3" t="s">
        <v>71</v>
      </c>
      <c r="G3" s="7">
        <v>31</v>
      </c>
      <c r="H3" s="7">
        <v>5465</v>
      </c>
      <c r="I3" s="7">
        <v>5096</v>
      </c>
    </row>
    <row r="4" spans="1:9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  <c r="F4" t="s">
        <v>230</v>
      </c>
      <c r="G4" s="7">
        <v>19</v>
      </c>
      <c r="H4" s="7">
        <v>1846</v>
      </c>
      <c r="I4" s="7">
        <v>1681</v>
      </c>
    </row>
    <row r="5" spans="1:9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  <c r="F5" t="s">
        <v>44</v>
      </c>
      <c r="G5" s="7">
        <v>18</v>
      </c>
      <c r="H5" s="7">
        <v>1539</v>
      </c>
      <c r="I5" s="7">
        <v>1404</v>
      </c>
    </row>
    <row r="6" spans="1:9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  <c r="F6" t="s">
        <v>284</v>
      </c>
      <c r="G6" s="7">
        <v>18</v>
      </c>
      <c r="H6" s="7">
        <v>1505</v>
      </c>
      <c r="I6" s="7">
        <v>1368</v>
      </c>
    </row>
    <row r="7" spans="1:9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  <c r="F7" t="s">
        <v>341</v>
      </c>
      <c r="G7" s="7">
        <v>54</v>
      </c>
      <c r="H7" s="7">
        <v>12306</v>
      </c>
      <c r="I7" s="7">
        <v>11532</v>
      </c>
    </row>
    <row r="8" spans="1:9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  <c r="F8" t="s">
        <v>324</v>
      </c>
      <c r="G8" s="7">
        <v>59</v>
      </c>
      <c r="H8" s="7">
        <v>12943</v>
      </c>
      <c r="I8" s="7">
        <v>12072</v>
      </c>
    </row>
    <row r="9" spans="1:9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  <c r="F9" t="s">
        <v>125</v>
      </c>
      <c r="G9" s="7">
        <v>17</v>
      </c>
      <c r="H9" s="7">
        <v>1439</v>
      </c>
      <c r="I9" s="7">
        <v>1265</v>
      </c>
    </row>
    <row r="10" spans="1:9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  <c r="F10" t="s">
        <v>378</v>
      </c>
      <c r="G10" s="7">
        <v>15</v>
      </c>
      <c r="H10" s="7">
        <v>636</v>
      </c>
      <c r="I10" s="7">
        <v>547</v>
      </c>
    </row>
    <row r="11" spans="1:9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  <c r="F11" t="s">
        <v>260</v>
      </c>
      <c r="G11" s="7">
        <v>15</v>
      </c>
      <c r="H11" s="7">
        <v>780</v>
      </c>
      <c r="I11" s="7">
        <v>690</v>
      </c>
    </row>
    <row r="12" spans="1:9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  <c r="F12" t="s">
        <v>176</v>
      </c>
      <c r="G12" s="7">
        <v>125</v>
      </c>
      <c r="H12" s="7">
        <v>20914</v>
      </c>
      <c r="I12" s="7">
        <v>19479</v>
      </c>
    </row>
    <row r="13" spans="1:9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  <c r="F13" t="s">
        <v>152</v>
      </c>
      <c r="G13" s="7">
        <v>128</v>
      </c>
      <c r="H13" s="7">
        <v>16450</v>
      </c>
      <c r="I13" s="7">
        <v>15320</v>
      </c>
    </row>
    <row r="14" spans="1:9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  <c r="F14" t="s">
        <v>95</v>
      </c>
      <c r="G14" s="7">
        <v>10</v>
      </c>
      <c r="H14" s="7">
        <v>580</v>
      </c>
      <c r="I14" s="7">
        <v>506</v>
      </c>
    </row>
    <row r="15" spans="1:9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  <c r="F15" t="s">
        <v>195</v>
      </c>
      <c r="G15" s="7">
        <v>36</v>
      </c>
      <c r="H15" s="7">
        <v>4937</v>
      </c>
      <c r="I15" s="7">
        <v>4561</v>
      </c>
    </row>
    <row r="16" spans="1:9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  <c r="F16" t="s">
        <v>63</v>
      </c>
      <c r="G16" s="7">
        <v>31</v>
      </c>
      <c r="H16" s="7">
        <v>5378</v>
      </c>
      <c r="I16" s="7">
        <v>4985</v>
      </c>
    </row>
    <row r="17" spans="1:9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  <c r="F17" t="s">
        <v>222</v>
      </c>
      <c r="G17" s="7">
        <v>19</v>
      </c>
      <c r="H17" s="7">
        <v>1676</v>
      </c>
      <c r="I17" s="7">
        <v>1516</v>
      </c>
    </row>
    <row r="18" spans="1:9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  <c r="F18" t="s">
        <v>36</v>
      </c>
      <c r="G18" s="7">
        <v>18</v>
      </c>
      <c r="H18" s="7">
        <v>1684</v>
      </c>
      <c r="I18" s="7">
        <v>1528</v>
      </c>
    </row>
    <row r="19" spans="1:9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  <c r="F19" t="s">
        <v>276</v>
      </c>
      <c r="G19" s="7">
        <v>18</v>
      </c>
      <c r="H19" s="7">
        <v>1599</v>
      </c>
      <c r="I19" s="7">
        <v>1450</v>
      </c>
    </row>
    <row r="20" spans="1:9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  <c r="F20" t="s">
        <v>333</v>
      </c>
      <c r="G20" s="7">
        <v>54</v>
      </c>
      <c r="H20" s="7">
        <v>12747</v>
      </c>
      <c r="I20" s="7">
        <v>11884</v>
      </c>
    </row>
    <row r="21" spans="1:9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  <c r="F21" t="s">
        <v>323</v>
      </c>
      <c r="G21" s="7">
        <v>59</v>
      </c>
      <c r="H21" s="7">
        <v>13186</v>
      </c>
      <c r="I21" s="7">
        <v>12251</v>
      </c>
    </row>
    <row r="22" spans="1:9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  <c r="F22" t="s">
        <v>117</v>
      </c>
      <c r="G22" s="7">
        <v>18</v>
      </c>
      <c r="H22" s="7">
        <v>1534</v>
      </c>
      <c r="I22" s="7">
        <v>1369</v>
      </c>
    </row>
    <row r="23" spans="1:9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  <c r="F23" t="s">
        <v>377</v>
      </c>
      <c r="G23" s="7">
        <v>15</v>
      </c>
      <c r="H23" s="7">
        <v>659</v>
      </c>
      <c r="I23" s="7">
        <v>575</v>
      </c>
    </row>
    <row r="24" spans="1:9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  <c r="F24" t="s">
        <v>252</v>
      </c>
      <c r="G24" s="7">
        <v>15</v>
      </c>
      <c r="H24" s="7">
        <v>786</v>
      </c>
      <c r="I24" s="7">
        <v>695</v>
      </c>
    </row>
    <row r="25" spans="1:9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  <c r="F25" t="s">
        <v>168</v>
      </c>
      <c r="G25" s="7">
        <v>125</v>
      </c>
      <c r="H25" s="7">
        <v>21863</v>
      </c>
      <c r="I25" s="7">
        <v>20160</v>
      </c>
    </row>
    <row r="26" spans="1:9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  <c r="F26" t="s">
        <v>144</v>
      </c>
      <c r="G26" s="7">
        <v>128</v>
      </c>
      <c r="H26" s="7">
        <v>17368</v>
      </c>
      <c r="I26" s="7">
        <v>16077</v>
      </c>
    </row>
    <row r="27" spans="1:9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  <c r="F27" t="s">
        <v>87</v>
      </c>
      <c r="G27" s="7">
        <v>10</v>
      </c>
      <c r="H27" s="7">
        <v>502</v>
      </c>
      <c r="I27" s="7">
        <v>433</v>
      </c>
    </row>
    <row r="28" spans="1:9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  <c r="F28" t="s">
        <v>212</v>
      </c>
      <c r="G28" s="7">
        <v>36</v>
      </c>
      <c r="H28" s="7">
        <v>5143</v>
      </c>
      <c r="I28" s="7">
        <v>4715</v>
      </c>
    </row>
    <row r="29" spans="1:9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  <c r="F29" t="s">
        <v>77</v>
      </c>
      <c r="G29" s="7">
        <v>31</v>
      </c>
      <c r="H29" s="7">
        <v>5120</v>
      </c>
      <c r="I29" s="7">
        <v>4737</v>
      </c>
    </row>
    <row r="30" spans="1:9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  <c r="F30" t="s">
        <v>239</v>
      </c>
      <c r="G30" s="7">
        <v>20</v>
      </c>
      <c r="H30" s="7">
        <v>1756</v>
      </c>
      <c r="I30" s="7">
        <v>1586</v>
      </c>
    </row>
    <row r="31" spans="1:9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  <c r="F31" t="s">
        <v>50</v>
      </c>
      <c r="G31" s="7">
        <v>19</v>
      </c>
      <c r="H31" s="7">
        <v>1712</v>
      </c>
      <c r="I31" s="7">
        <v>1552</v>
      </c>
    </row>
    <row r="32" spans="1:9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  <c r="F32" t="s">
        <v>318</v>
      </c>
      <c r="G32" s="7">
        <v>19</v>
      </c>
      <c r="H32" s="7">
        <v>1662</v>
      </c>
      <c r="I32" s="7">
        <v>1506</v>
      </c>
    </row>
    <row r="33" spans="1:9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  <c r="F33" t="s">
        <v>372</v>
      </c>
      <c r="G33" s="7">
        <v>54</v>
      </c>
      <c r="H33" s="7">
        <v>12817</v>
      </c>
      <c r="I33" s="7">
        <v>11865</v>
      </c>
    </row>
    <row r="34" spans="1:9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  <c r="F34" t="s">
        <v>347</v>
      </c>
      <c r="G34" s="7">
        <v>59</v>
      </c>
      <c r="H34" s="7">
        <v>13251</v>
      </c>
      <c r="I34" s="7">
        <v>12255</v>
      </c>
    </row>
    <row r="35" spans="1:9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  <c r="F35" t="s">
        <v>131</v>
      </c>
      <c r="G35" s="7">
        <v>19</v>
      </c>
      <c r="H35" s="7">
        <v>1499</v>
      </c>
      <c r="I35" s="7">
        <v>1322</v>
      </c>
    </row>
    <row r="36" spans="1:9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  <c r="F36" t="s">
        <v>399</v>
      </c>
      <c r="G36" s="7">
        <v>15</v>
      </c>
      <c r="H36" s="7">
        <v>644</v>
      </c>
      <c r="I36" s="7">
        <v>550</v>
      </c>
    </row>
    <row r="37" spans="1:9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  <c r="F37" t="s">
        <v>266</v>
      </c>
      <c r="G37" s="7">
        <v>15</v>
      </c>
      <c r="H37" s="7">
        <v>791</v>
      </c>
      <c r="I37" s="7">
        <v>691</v>
      </c>
    </row>
    <row r="38" spans="1:9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  <c r="F38" t="s">
        <v>293</v>
      </c>
      <c r="G38" s="7">
        <v>15</v>
      </c>
      <c r="H38" s="7">
        <v>262</v>
      </c>
      <c r="I38" s="7">
        <v>195</v>
      </c>
    </row>
    <row r="39" spans="1:9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  <c r="F39" t="s">
        <v>185</v>
      </c>
      <c r="G39" s="7">
        <v>125</v>
      </c>
      <c r="H39" s="7">
        <v>22368</v>
      </c>
      <c r="I39" s="7">
        <v>20625</v>
      </c>
    </row>
    <row r="40" spans="1:9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  <c r="F40" t="s">
        <v>158</v>
      </c>
      <c r="G40" s="7">
        <v>129</v>
      </c>
      <c r="H40" s="7">
        <v>18042</v>
      </c>
      <c r="I40" s="7">
        <v>16631</v>
      </c>
    </row>
    <row r="41" spans="1:9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  <c r="F41" t="s">
        <v>104</v>
      </c>
      <c r="G41" s="7">
        <v>10</v>
      </c>
      <c r="H41" s="7">
        <v>448</v>
      </c>
      <c r="I41" s="7">
        <v>376</v>
      </c>
    </row>
    <row r="42" spans="1:9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  <c r="F42" t="s">
        <v>198</v>
      </c>
      <c r="G42" s="7">
        <v>36</v>
      </c>
      <c r="H42" s="7">
        <v>5457</v>
      </c>
      <c r="I42" s="7">
        <v>4916</v>
      </c>
    </row>
    <row r="43" spans="1:9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  <c r="F43" t="s">
        <v>66</v>
      </c>
      <c r="G43" s="7">
        <v>31</v>
      </c>
      <c r="H43" s="7">
        <v>6118</v>
      </c>
      <c r="I43" s="7">
        <v>5564</v>
      </c>
    </row>
    <row r="44" spans="1:9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  <c r="F44" t="s">
        <v>225</v>
      </c>
      <c r="G44" s="7">
        <v>20</v>
      </c>
      <c r="H44" s="7">
        <v>2468</v>
      </c>
      <c r="I44" s="7">
        <v>2221</v>
      </c>
    </row>
    <row r="45" spans="1:9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  <c r="F45" t="s">
        <v>39</v>
      </c>
      <c r="G45" s="7">
        <v>18</v>
      </c>
      <c r="H45" s="7">
        <v>1826</v>
      </c>
      <c r="I45" s="7">
        <v>1633</v>
      </c>
    </row>
    <row r="46" spans="1:9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  <c r="F46" t="s">
        <v>305</v>
      </c>
      <c r="G46" s="7">
        <v>19</v>
      </c>
      <c r="H46" s="7">
        <v>1987</v>
      </c>
      <c r="I46" s="7">
        <v>1791</v>
      </c>
    </row>
    <row r="47" spans="1:9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  <c r="F47" t="s">
        <v>359</v>
      </c>
      <c r="G47" s="7">
        <v>54</v>
      </c>
      <c r="H47" s="7">
        <v>14205</v>
      </c>
      <c r="I47" s="7">
        <v>13026</v>
      </c>
    </row>
    <row r="48" spans="1:9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  <c r="F48" t="s">
        <v>336</v>
      </c>
      <c r="G48" s="7">
        <v>59</v>
      </c>
      <c r="H48" s="7">
        <v>15222</v>
      </c>
      <c r="I48" s="7">
        <v>13873</v>
      </c>
    </row>
    <row r="49" spans="1:9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  <c r="F49" t="s">
        <v>120</v>
      </c>
      <c r="G49" s="7">
        <v>19</v>
      </c>
      <c r="H49" s="7">
        <v>1497</v>
      </c>
      <c r="I49" s="7">
        <v>1291</v>
      </c>
    </row>
    <row r="50" spans="1:9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  <c r="F50" t="s">
        <v>389</v>
      </c>
      <c r="G50" s="7">
        <v>15</v>
      </c>
      <c r="H50" s="7">
        <v>721</v>
      </c>
      <c r="I50" s="7">
        <v>625</v>
      </c>
    </row>
    <row r="51" spans="1:9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  <c r="F51" t="s">
        <v>255</v>
      </c>
      <c r="G51" s="7">
        <v>15</v>
      </c>
      <c r="H51" s="7">
        <v>996</v>
      </c>
      <c r="I51" s="7">
        <v>888</v>
      </c>
    </row>
    <row r="52" spans="1:9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  <c r="F52" t="s">
        <v>279</v>
      </c>
      <c r="G52" s="7">
        <v>15</v>
      </c>
      <c r="H52" s="7">
        <v>294</v>
      </c>
      <c r="I52" s="7">
        <v>225</v>
      </c>
    </row>
    <row r="53" spans="1:9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  <c r="F53" t="s">
        <v>171</v>
      </c>
      <c r="G53" s="7">
        <v>125</v>
      </c>
      <c r="H53" s="7">
        <v>20602</v>
      </c>
      <c r="I53" s="7">
        <v>18845</v>
      </c>
    </row>
    <row r="54" spans="1:9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  <c r="F54" t="s">
        <v>147</v>
      </c>
      <c r="G54" s="7">
        <v>129</v>
      </c>
      <c r="H54" s="7">
        <v>17002</v>
      </c>
      <c r="I54" s="7">
        <v>15570</v>
      </c>
    </row>
    <row r="55" spans="1:9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  <c r="F55" t="s">
        <v>90</v>
      </c>
      <c r="G55" s="7">
        <v>10</v>
      </c>
      <c r="H55" s="7">
        <v>554</v>
      </c>
      <c r="I55" s="7">
        <v>472</v>
      </c>
    </row>
    <row r="56" spans="1:9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  <c r="F56" t="s">
        <v>196</v>
      </c>
      <c r="G56" s="7">
        <v>36</v>
      </c>
      <c r="H56" s="7">
        <v>3442</v>
      </c>
      <c r="I56" s="7">
        <v>3147</v>
      </c>
    </row>
    <row r="57" spans="1:9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  <c r="F57" t="s">
        <v>64</v>
      </c>
      <c r="G57" s="7">
        <v>31</v>
      </c>
      <c r="H57" s="7">
        <v>4157</v>
      </c>
      <c r="I57" s="7">
        <v>3823</v>
      </c>
    </row>
    <row r="58" spans="1:9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  <c r="F58" t="s">
        <v>223</v>
      </c>
      <c r="G58" s="7">
        <v>20</v>
      </c>
      <c r="H58" s="7">
        <v>1613</v>
      </c>
      <c r="I58" s="7">
        <v>1457</v>
      </c>
    </row>
    <row r="59" spans="1:9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  <c r="F59" t="s">
        <v>37</v>
      </c>
      <c r="G59" s="7">
        <v>18</v>
      </c>
      <c r="H59" s="7">
        <v>1708</v>
      </c>
      <c r="I59" s="7">
        <v>1534</v>
      </c>
    </row>
    <row r="60" spans="1:9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  <c r="F60" t="s">
        <v>303</v>
      </c>
      <c r="G60" s="7">
        <v>19</v>
      </c>
      <c r="H60" s="7">
        <v>1206</v>
      </c>
      <c r="I60" s="7">
        <v>1080</v>
      </c>
    </row>
    <row r="61" spans="1:9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  <c r="F61" t="s">
        <v>357</v>
      </c>
      <c r="G61" s="7">
        <v>54</v>
      </c>
      <c r="H61" s="7">
        <v>11622</v>
      </c>
      <c r="I61" s="7">
        <v>10754</v>
      </c>
    </row>
    <row r="62" spans="1:9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  <c r="F62" t="s">
        <v>334</v>
      </c>
      <c r="G62" s="7">
        <v>59</v>
      </c>
      <c r="H62" s="7">
        <v>12429</v>
      </c>
      <c r="I62" s="7">
        <v>11477</v>
      </c>
    </row>
    <row r="63" spans="1:9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  <c r="F63" t="s">
        <v>118</v>
      </c>
      <c r="G63" s="7">
        <v>19</v>
      </c>
      <c r="H63" s="7">
        <v>1217</v>
      </c>
      <c r="I63" s="7">
        <v>1048</v>
      </c>
    </row>
    <row r="64" spans="1:9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  <c r="F64" t="s">
        <v>387</v>
      </c>
      <c r="G64" s="7">
        <v>15</v>
      </c>
      <c r="H64" s="7">
        <v>567</v>
      </c>
      <c r="I64" s="7">
        <v>493</v>
      </c>
    </row>
    <row r="65" spans="1:9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  <c r="F65" t="s">
        <v>253</v>
      </c>
      <c r="G65" s="7">
        <v>15</v>
      </c>
      <c r="H65" s="7">
        <v>751</v>
      </c>
      <c r="I65" s="7">
        <v>651</v>
      </c>
    </row>
    <row r="66" spans="1:9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  <c r="F66" t="s">
        <v>277</v>
      </c>
      <c r="G66" s="7">
        <v>15</v>
      </c>
      <c r="H66" s="7">
        <v>274</v>
      </c>
      <c r="I66" s="7">
        <v>203</v>
      </c>
    </row>
    <row r="67" spans="1:9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  <c r="F67" t="s">
        <v>169</v>
      </c>
      <c r="G67" s="7">
        <v>125</v>
      </c>
      <c r="H67" s="7">
        <v>16932</v>
      </c>
      <c r="I67" s="7">
        <v>15601</v>
      </c>
    </row>
    <row r="68" spans="1:9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  <c r="F68" t="s">
        <v>145</v>
      </c>
      <c r="G68" s="7">
        <v>129</v>
      </c>
      <c r="H68" s="7">
        <v>14009</v>
      </c>
      <c r="I68" s="7">
        <v>12920</v>
      </c>
    </row>
    <row r="69" spans="1:9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  <c r="F69" t="s">
        <v>88</v>
      </c>
      <c r="G69" s="7">
        <v>10</v>
      </c>
      <c r="H69" s="7">
        <v>416</v>
      </c>
      <c r="I69" s="7">
        <v>341</v>
      </c>
    </row>
    <row r="70" spans="1:9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  <c r="F70" t="s">
        <v>206</v>
      </c>
      <c r="G70" s="7">
        <v>36</v>
      </c>
      <c r="H70" s="7">
        <v>4751</v>
      </c>
      <c r="I70" s="7">
        <v>4370</v>
      </c>
    </row>
    <row r="71" spans="1:9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  <c r="F71" t="s">
        <v>73</v>
      </c>
      <c r="G71" s="7">
        <v>31</v>
      </c>
      <c r="H71" s="7">
        <v>5155</v>
      </c>
      <c r="I71" s="7">
        <v>4762</v>
      </c>
    </row>
    <row r="72" spans="1:9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  <c r="F72" t="s">
        <v>233</v>
      </c>
      <c r="G72" s="7">
        <v>20</v>
      </c>
      <c r="H72" s="7">
        <v>1716</v>
      </c>
      <c r="I72" s="7">
        <v>1561</v>
      </c>
    </row>
    <row r="73" spans="1:9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  <c r="F73" t="s">
        <v>46</v>
      </c>
      <c r="G73" s="7">
        <v>20</v>
      </c>
      <c r="H73" s="7">
        <v>1520</v>
      </c>
      <c r="I73" s="7">
        <v>1373</v>
      </c>
    </row>
    <row r="74" spans="1:9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  <c r="F74" t="s">
        <v>312</v>
      </c>
      <c r="G74" s="7">
        <v>19</v>
      </c>
      <c r="H74" s="7">
        <v>1314</v>
      </c>
      <c r="I74" s="7">
        <v>1192</v>
      </c>
    </row>
    <row r="75" spans="1:9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  <c r="F75" t="s">
        <v>366</v>
      </c>
      <c r="G75" s="7">
        <v>54</v>
      </c>
      <c r="H75" s="7">
        <v>14823</v>
      </c>
      <c r="I75" s="7">
        <v>13751</v>
      </c>
    </row>
    <row r="76" spans="1:9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  <c r="F76" t="s">
        <v>343</v>
      </c>
      <c r="G76" s="7">
        <v>59</v>
      </c>
      <c r="H76" s="7">
        <v>15277</v>
      </c>
      <c r="I76" s="7">
        <v>14163</v>
      </c>
    </row>
    <row r="77" spans="1:9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  <c r="F77" t="s">
        <v>127</v>
      </c>
      <c r="G77" s="7">
        <v>19</v>
      </c>
      <c r="H77" s="7">
        <v>1402</v>
      </c>
      <c r="I77" s="7">
        <v>1234</v>
      </c>
    </row>
    <row r="78" spans="1:9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  <c r="F78" t="s">
        <v>395</v>
      </c>
      <c r="G78" s="7">
        <v>15</v>
      </c>
      <c r="H78" s="7">
        <v>585</v>
      </c>
      <c r="I78" s="7">
        <v>502</v>
      </c>
    </row>
    <row r="79" spans="1:9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  <c r="F79" t="s">
        <v>262</v>
      </c>
      <c r="G79" s="7">
        <v>15</v>
      </c>
      <c r="H79" s="7">
        <v>784</v>
      </c>
      <c r="I79" s="7">
        <v>696</v>
      </c>
    </row>
    <row r="80" spans="1:9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  <c r="F80" t="s">
        <v>287</v>
      </c>
      <c r="G80" s="7">
        <v>15</v>
      </c>
      <c r="H80" s="7">
        <v>455</v>
      </c>
      <c r="I80" s="7">
        <v>384</v>
      </c>
    </row>
    <row r="81" spans="1:9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  <c r="F81" t="s">
        <v>179</v>
      </c>
      <c r="G81" s="7">
        <v>125</v>
      </c>
      <c r="H81" s="7">
        <v>18861</v>
      </c>
      <c r="I81" s="7">
        <v>17420</v>
      </c>
    </row>
    <row r="82" spans="1:9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  <c r="F82" t="s">
        <v>154</v>
      </c>
      <c r="G82" s="7">
        <v>129</v>
      </c>
      <c r="H82" s="7">
        <v>15778</v>
      </c>
      <c r="I82" s="7">
        <v>14624</v>
      </c>
    </row>
    <row r="83" spans="1:9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  <c r="F83" t="s">
        <v>98</v>
      </c>
      <c r="G83" s="7">
        <v>10</v>
      </c>
      <c r="H83" s="7">
        <v>402</v>
      </c>
      <c r="I83" s="7">
        <v>333</v>
      </c>
    </row>
    <row r="84" spans="1:9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  <c r="F84" t="s">
        <v>194</v>
      </c>
      <c r="G84" s="7">
        <v>36</v>
      </c>
      <c r="H84" s="7">
        <v>4508</v>
      </c>
      <c r="I84" s="7">
        <v>4149</v>
      </c>
    </row>
    <row r="85" spans="1:9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  <c r="F85" t="s">
        <v>62</v>
      </c>
      <c r="G85" s="7">
        <v>31</v>
      </c>
      <c r="H85" s="7">
        <v>4968</v>
      </c>
      <c r="I85" s="7">
        <v>4596</v>
      </c>
    </row>
    <row r="86" spans="1:9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  <c r="F86" t="s">
        <v>221</v>
      </c>
      <c r="G86" s="7">
        <v>20</v>
      </c>
      <c r="H86" s="7">
        <v>1804</v>
      </c>
      <c r="I86" s="7">
        <v>1638</v>
      </c>
    </row>
    <row r="87" spans="1:9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  <c r="F87" t="s">
        <v>35</v>
      </c>
      <c r="G87" s="7">
        <v>20</v>
      </c>
      <c r="H87" s="7">
        <v>1519</v>
      </c>
      <c r="I87" s="7">
        <v>1372</v>
      </c>
    </row>
    <row r="88" spans="1:9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  <c r="F88" t="s">
        <v>302</v>
      </c>
      <c r="G88" s="7">
        <v>19</v>
      </c>
      <c r="H88" s="7">
        <v>1479</v>
      </c>
      <c r="I88" s="7">
        <v>1346</v>
      </c>
    </row>
    <row r="89" spans="1:9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  <c r="F89" t="s">
        <v>356</v>
      </c>
      <c r="G89" s="7">
        <v>54</v>
      </c>
      <c r="H89" s="7">
        <v>13606</v>
      </c>
      <c r="I89" s="7">
        <v>12697</v>
      </c>
    </row>
    <row r="90" spans="1:9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  <c r="F90" t="s">
        <v>332</v>
      </c>
      <c r="G90" s="7">
        <v>59</v>
      </c>
      <c r="H90" s="7">
        <v>14423</v>
      </c>
      <c r="I90" s="7">
        <v>13432</v>
      </c>
    </row>
    <row r="91" spans="1:9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  <c r="F91" t="s">
        <v>116</v>
      </c>
      <c r="G91" s="7">
        <v>19</v>
      </c>
      <c r="H91" s="7">
        <v>1582</v>
      </c>
      <c r="I91" s="7">
        <v>1403</v>
      </c>
    </row>
    <row r="92" spans="1:9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  <c r="F92" t="s">
        <v>386</v>
      </c>
      <c r="G92" s="7">
        <v>15</v>
      </c>
      <c r="H92" s="7">
        <v>622</v>
      </c>
      <c r="I92" s="7">
        <v>538</v>
      </c>
    </row>
    <row r="93" spans="1:9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  <c r="F93" t="s">
        <v>251</v>
      </c>
      <c r="G93" s="7">
        <v>15</v>
      </c>
      <c r="H93" s="7">
        <v>750</v>
      </c>
      <c r="I93" s="7">
        <v>647</v>
      </c>
    </row>
    <row r="94" spans="1:9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  <c r="F94" t="s">
        <v>275</v>
      </c>
      <c r="G94" s="7">
        <v>15</v>
      </c>
      <c r="H94" s="7">
        <v>390</v>
      </c>
      <c r="I94" s="7">
        <v>315</v>
      </c>
    </row>
    <row r="95" spans="1:9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  <c r="F95" t="s">
        <v>167</v>
      </c>
      <c r="G95" s="7">
        <v>125</v>
      </c>
      <c r="H95" s="7">
        <v>20495</v>
      </c>
      <c r="I95" s="7">
        <v>18964</v>
      </c>
    </row>
    <row r="96" spans="1:9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  <c r="F96" t="s">
        <v>143</v>
      </c>
      <c r="G96" s="7">
        <v>129</v>
      </c>
      <c r="H96" s="7">
        <v>16525</v>
      </c>
      <c r="I96" s="7">
        <v>15310</v>
      </c>
    </row>
    <row r="97" spans="1:9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  <c r="F97" t="s">
        <v>86</v>
      </c>
      <c r="G97" s="7">
        <v>10</v>
      </c>
      <c r="H97" s="7">
        <v>462</v>
      </c>
      <c r="I97" s="7">
        <v>396</v>
      </c>
    </row>
    <row r="98" spans="1:9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  <c r="F98" t="s">
        <v>202</v>
      </c>
      <c r="G98" s="7">
        <v>36</v>
      </c>
      <c r="H98" s="7">
        <v>4575</v>
      </c>
      <c r="I98" s="7">
        <v>4206</v>
      </c>
    </row>
    <row r="99" spans="1:9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  <c r="F99" t="s">
        <v>70</v>
      </c>
      <c r="G99" s="7">
        <v>31</v>
      </c>
      <c r="H99" s="7">
        <v>5188</v>
      </c>
      <c r="I99" s="7">
        <v>4800</v>
      </c>
    </row>
    <row r="100" spans="1:9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  <c r="F100" t="s">
        <v>229</v>
      </c>
      <c r="G100" s="7">
        <v>20</v>
      </c>
      <c r="H100" s="7">
        <v>1757</v>
      </c>
      <c r="I100" s="7">
        <v>1596</v>
      </c>
    </row>
    <row r="101" spans="1:9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  <c r="F101" t="s">
        <v>43</v>
      </c>
      <c r="G101" s="7">
        <v>20</v>
      </c>
      <c r="H101" s="7">
        <v>1773</v>
      </c>
      <c r="I101" s="7">
        <v>1604</v>
      </c>
    </row>
    <row r="102" spans="1:9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  <c r="F102" t="s">
        <v>309</v>
      </c>
      <c r="G102" s="7">
        <v>19</v>
      </c>
      <c r="H102" s="7">
        <v>1622</v>
      </c>
      <c r="I102" s="7">
        <v>1482</v>
      </c>
    </row>
    <row r="103" spans="1:9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  <c r="F103" t="s">
        <v>363</v>
      </c>
      <c r="G103" s="7">
        <v>54</v>
      </c>
      <c r="H103" s="7">
        <v>12775</v>
      </c>
      <c r="I103" s="7">
        <v>11887</v>
      </c>
    </row>
    <row r="104" spans="1:9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  <c r="F104" t="s">
        <v>340</v>
      </c>
      <c r="G104" s="7">
        <v>59</v>
      </c>
      <c r="H104" s="7">
        <v>13469</v>
      </c>
      <c r="I104" s="7">
        <v>12486</v>
      </c>
    </row>
    <row r="105" spans="1:9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  <c r="F105" t="s">
        <v>124</v>
      </c>
      <c r="G105" s="7">
        <v>19</v>
      </c>
      <c r="H105" s="7">
        <v>1417</v>
      </c>
      <c r="I105" s="7">
        <v>1245</v>
      </c>
    </row>
    <row r="106" spans="1:9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  <c r="F106" t="s">
        <v>393</v>
      </c>
      <c r="G106" s="7">
        <v>15</v>
      </c>
      <c r="H106" s="7">
        <v>750</v>
      </c>
      <c r="I106" s="7">
        <v>658</v>
      </c>
    </row>
    <row r="107" spans="1:9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  <c r="F107" t="s">
        <v>259</v>
      </c>
      <c r="G107" s="7">
        <v>15</v>
      </c>
      <c r="H107" s="7">
        <v>922</v>
      </c>
      <c r="I107" s="7">
        <v>823</v>
      </c>
    </row>
    <row r="108" spans="1:9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  <c r="F108" t="s">
        <v>283</v>
      </c>
      <c r="G108" s="7">
        <v>15</v>
      </c>
      <c r="H108" s="7">
        <v>455</v>
      </c>
      <c r="I108" s="7">
        <v>381</v>
      </c>
    </row>
    <row r="109" spans="1:9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  <c r="F109" t="s">
        <v>175</v>
      </c>
      <c r="G109" s="7">
        <v>125</v>
      </c>
      <c r="H109" s="7">
        <v>18944</v>
      </c>
      <c r="I109" s="7">
        <v>17541</v>
      </c>
    </row>
    <row r="110" spans="1:9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  <c r="F110" t="s">
        <v>151</v>
      </c>
      <c r="G110" s="7">
        <v>129</v>
      </c>
      <c r="H110" s="7">
        <v>15665</v>
      </c>
      <c r="I110" s="7">
        <v>14501</v>
      </c>
    </row>
    <row r="111" spans="1:9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  <c r="F111" t="s">
        <v>94</v>
      </c>
      <c r="G111" s="7">
        <v>10</v>
      </c>
      <c r="H111" s="7">
        <v>511</v>
      </c>
      <c r="I111" s="7">
        <v>437</v>
      </c>
    </row>
    <row r="112" spans="1:9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  <c r="F112" t="s">
        <v>208</v>
      </c>
      <c r="G112" s="7">
        <v>36</v>
      </c>
      <c r="H112" s="7">
        <v>4384</v>
      </c>
      <c r="I112" s="7">
        <v>4025</v>
      </c>
    </row>
    <row r="113" spans="1:9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  <c r="F113" t="s">
        <v>74</v>
      </c>
      <c r="G113" s="7">
        <v>31</v>
      </c>
      <c r="H113" s="7">
        <v>4709</v>
      </c>
      <c r="I113" s="7">
        <v>4348</v>
      </c>
    </row>
    <row r="114" spans="1:9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  <c r="F114" t="s">
        <v>235</v>
      </c>
      <c r="G114" s="7">
        <v>20</v>
      </c>
      <c r="H114" s="7">
        <v>1747</v>
      </c>
      <c r="I114" s="7">
        <v>1570</v>
      </c>
    </row>
    <row r="115" spans="1:9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  <c r="F115" t="s">
        <v>47</v>
      </c>
      <c r="G115" s="7">
        <v>20</v>
      </c>
      <c r="H115" s="7">
        <v>1784</v>
      </c>
      <c r="I115" s="7">
        <v>1632</v>
      </c>
    </row>
    <row r="116" spans="1:9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  <c r="F116" t="s">
        <v>314</v>
      </c>
      <c r="G116" s="7">
        <v>19</v>
      </c>
      <c r="H116" s="7">
        <v>1509</v>
      </c>
      <c r="I116" s="7">
        <v>1374</v>
      </c>
    </row>
    <row r="117" spans="1:9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  <c r="F117" t="s">
        <v>368</v>
      </c>
      <c r="G117" s="7">
        <v>54</v>
      </c>
      <c r="H117" s="7">
        <v>13406</v>
      </c>
      <c r="I117" s="7">
        <v>12518</v>
      </c>
    </row>
    <row r="118" spans="1:9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  <c r="F118" t="s">
        <v>344</v>
      </c>
      <c r="G118" s="7">
        <v>59</v>
      </c>
      <c r="H118" s="7">
        <v>14103</v>
      </c>
      <c r="I118" s="7">
        <v>13118</v>
      </c>
    </row>
    <row r="119" spans="1:9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  <c r="F119" t="s">
        <v>128</v>
      </c>
      <c r="G119" s="7">
        <v>19</v>
      </c>
      <c r="H119" s="7">
        <v>1499</v>
      </c>
      <c r="I119" s="7">
        <v>1323</v>
      </c>
    </row>
    <row r="120" spans="1:9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  <c r="F120" t="s">
        <v>396</v>
      </c>
      <c r="G120" s="7">
        <v>15</v>
      </c>
      <c r="H120" s="7">
        <v>701</v>
      </c>
      <c r="I120" s="7">
        <v>611</v>
      </c>
    </row>
    <row r="121" spans="1:9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  <c r="F121" t="s">
        <v>263</v>
      </c>
      <c r="G121" s="7">
        <v>15</v>
      </c>
      <c r="H121" s="7">
        <v>839</v>
      </c>
      <c r="I121" s="7">
        <v>733</v>
      </c>
    </row>
    <row r="122" spans="1:9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  <c r="F122" t="s">
        <v>289</v>
      </c>
      <c r="G122" s="7">
        <v>15</v>
      </c>
      <c r="H122" s="7">
        <v>467</v>
      </c>
      <c r="I122" s="7">
        <v>389</v>
      </c>
    </row>
    <row r="123" spans="1:9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  <c r="F123" t="s">
        <v>181</v>
      </c>
      <c r="G123" s="7">
        <v>125</v>
      </c>
      <c r="H123" s="7">
        <v>20218</v>
      </c>
      <c r="I123" s="7">
        <v>18647</v>
      </c>
    </row>
    <row r="124" spans="1:9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  <c r="F124" t="s">
        <v>155</v>
      </c>
      <c r="G124" s="7">
        <v>129</v>
      </c>
      <c r="H124" s="7">
        <v>16376</v>
      </c>
      <c r="I124" s="7">
        <v>15197</v>
      </c>
    </row>
    <row r="125" spans="1:9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  <c r="F125" t="s">
        <v>100</v>
      </c>
      <c r="G125" s="7">
        <v>10</v>
      </c>
      <c r="H125" s="7">
        <v>465</v>
      </c>
      <c r="I125" s="7">
        <v>390</v>
      </c>
    </row>
    <row r="126" spans="1:9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  <c r="F126" t="s">
        <v>215</v>
      </c>
      <c r="G126" s="7">
        <v>36</v>
      </c>
      <c r="H126" s="7">
        <v>4826</v>
      </c>
      <c r="I126" s="7">
        <v>4426</v>
      </c>
    </row>
    <row r="127" spans="1:9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  <c r="F127" t="s">
        <v>80</v>
      </c>
      <c r="G127" s="7">
        <v>31</v>
      </c>
      <c r="H127" s="7">
        <v>4903</v>
      </c>
      <c r="I127" s="7">
        <v>4527</v>
      </c>
    </row>
    <row r="128" spans="1:9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  <c r="F128" t="s">
        <v>242</v>
      </c>
      <c r="G128" s="7">
        <v>21</v>
      </c>
      <c r="H128" s="7">
        <v>1879</v>
      </c>
      <c r="I128" s="7">
        <v>1695</v>
      </c>
    </row>
    <row r="129" spans="1:9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  <c r="F129" t="s">
        <v>53</v>
      </c>
      <c r="G129" s="7">
        <v>21</v>
      </c>
      <c r="H129" s="7">
        <v>1542</v>
      </c>
      <c r="I129" s="7">
        <v>1405</v>
      </c>
    </row>
    <row r="130" spans="1:9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  <c r="F130" t="s">
        <v>321</v>
      </c>
      <c r="G130" s="7">
        <v>19</v>
      </c>
      <c r="H130" s="7">
        <v>1580</v>
      </c>
      <c r="I130" s="7">
        <v>1435</v>
      </c>
    </row>
    <row r="131" spans="1:9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  <c r="F131" t="s">
        <v>375</v>
      </c>
      <c r="G131" s="7">
        <v>54</v>
      </c>
      <c r="H131" s="7">
        <v>12743</v>
      </c>
      <c r="I131" s="7">
        <v>11858</v>
      </c>
    </row>
    <row r="132" spans="1:9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  <c r="F132" t="s">
        <v>350</v>
      </c>
      <c r="G132" s="7">
        <v>59</v>
      </c>
      <c r="H132" s="7">
        <v>13495</v>
      </c>
      <c r="I132" s="7">
        <v>12517</v>
      </c>
    </row>
    <row r="133" spans="1:9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  <c r="F133" t="s">
        <v>134</v>
      </c>
      <c r="G133" s="7">
        <v>19</v>
      </c>
      <c r="H133" s="7">
        <v>1530</v>
      </c>
      <c r="I133" s="7">
        <v>1338</v>
      </c>
    </row>
    <row r="134" spans="1:9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  <c r="F134" t="s">
        <v>402</v>
      </c>
      <c r="G134" s="7">
        <v>15</v>
      </c>
      <c r="H134" s="7">
        <v>676</v>
      </c>
      <c r="I134" s="7">
        <v>591</v>
      </c>
    </row>
    <row r="135" spans="1:9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  <c r="F135" t="s">
        <v>269</v>
      </c>
      <c r="G135" s="7">
        <v>15</v>
      </c>
      <c r="H135" s="7">
        <v>805</v>
      </c>
      <c r="I135" s="7">
        <v>703</v>
      </c>
    </row>
    <row r="136" spans="1:9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  <c r="F136" t="s">
        <v>296</v>
      </c>
      <c r="G136" s="7">
        <v>15</v>
      </c>
      <c r="H136" s="7">
        <v>480</v>
      </c>
      <c r="I136" s="7">
        <v>398</v>
      </c>
    </row>
    <row r="137" spans="1:9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  <c r="F137" t="s">
        <v>188</v>
      </c>
      <c r="G137" s="7">
        <v>125</v>
      </c>
      <c r="H137" s="7">
        <v>18014</v>
      </c>
      <c r="I137" s="7">
        <v>16675</v>
      </c>
    </row>
    <row r="138" spans="1:9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  <c r="F138" t="s">
        <v>161</v>
      </c>
      <c r="G138" s="7">
        <v>129</v>
      </c>
      <c r="H138" s="7">
        <v>14582</v>
      </c>
      <c r="I138" s="7">
        <v>13512</v>
      </c>
    </row>
    <row r="139" spans="1:9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  <c r="F139" t="s">
        <v>107</v>
      </c>
      <c r="G139" s="7">
        <v>10</v>
      </c>
      <c r="H139" s="7">
        <v>563</v>
      </c>
      <c r="I139" s="7">
        <v>486</v>
      </c>
    </row>
    <row r="140" spans="1:9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  <c r="F140" t="s">
        <v>214</v>
      </c>
      <c r="G140" s="7">
        <v>36</v>
      </c>
      <c r="H140" s="7">
        <v>4199</v>
      </c>
      <c r="I140" s="7">
        <v>3867</v>
      </c>
    </row>
    <row r="141" spans="1:9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  <c r="F141" t="s">
        <v>79</v>
      </c>
      <c r="G141" s="7">
        <v>31</v>
      </c>
      <c r="H141" s="7">
        <v>4635</v>
      </c>
      <c r="I141" s="7">
        <v>4266</v>
      </c>
    </row>
    <row r="142" spans="1:9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  <c r="F142" t="s">
        <v>241</v>
      </c>
      <c r="G142" s="7">
        <v>21</v>
      </c>
      <c r="H142" s="7">
        <v>1957</v>
      </c>
      <c r="I142" s="7">
        <v>1755</v>
      </c>
    </row>
    <row r="143" spans="1:9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  <c r="F143" t="s">
        <v>52</v>
      </c>
      <c r="G143" s="7">
        <v>21</v>
      </c>
      <c r="H143" s="7">
        <v>1646</v>
      </c>
      <c r="I143" s="7">
        <v>1492</v>
      </c>
    </row>
    <row r="144" spans="1:9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  <c r="F144" t="s">
        <v>320</v>
      </c>
      <c r="G144" s="7">
        <v>19</v>
      </c>
      <c r="H144" s="7">
        <v>1520</v>
      </c>
      <c r="I144" s="7">
        <v>1380</v>
      </c>
    </row>
    <row r="145" spans="1:9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  <c r="F145" t="s">
        <v>374</v>
      </c>
      <c r="G145" s="7">
        <v>54</v>
      </c>
      <c r="H145" s="7">
        <v>13563</v>
      </c>
      <c r="I145" s="7">
        <v>12604</v>
      </c>
    </row>
    <row r="146" spans="1:9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  <c r="F146" t="s">
        <v>349</v>
      </c>
      <c r="G146" s="7">
        <v>59</v>
      </c>
      <c r="H146" s="7">
        <v>14098</v>
      </c>
      <c r="I146" s="7">
        <v>13106</v>
      </c>
    </row>
    <row r="147" spans="1:9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  <c r="F147" t="s">
        <v>133</v>
      </c>
      <c r="G147" s="7">
        <v>19</v>
      </c>
      <c r="H147" s="7">
        <v>1522</v>
      </c>
      <c r="I147" s="7">
        <v>1340</v>
      </c>
    </row>
    <row r="148" spans="1:9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  <c r="F148" t="s">
        <v>401</v>
      </c>
      <c r="G148" s="7">
        <v>15</v>
      </c>
      <c r="H148" s="7">
        <v>703</v>
      </c>
      <c r="I148" s="7">
        <v>609</v>
      </c>
    </row>
    <row r="149" spans="1:9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  <c r="F149" t="s">
        <v>268</v>
      </c>
      <c r="G149" s="7">
        <v>15</v>
      </c>
      <c r="H149" s="7">
        <v>879</v>
      </c>
      <c r="I149" s="7">
        <v>768</v>
      </c>
    </row>
    <row r="150" spans="1:9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  <c r="F150" t="s">
        <v>295</v>
      </c>
      <c r="G150" s="7">
        <v>15</v>
      </c>
      <c r="H150" s="7">
        <v>492</v>
      </c>
      <c r="I150" s="7">
        <v>412</v>
      </c>
    </row>
    <row r="151" spans="1:9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  <c r="F151" t="s">
        <v>187</v>
      </c>
      <c r="G151" s="7">
        <v>125</v>
      </c>
      <c r="H151" s="7">
        <v>24620</v>
      </c>
      <c r="I151" s="7">
        <v>22641</v>
      </c>
    </row>
    <row r="152" spans="1:9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  <c r="F152" t="s">
        <v>160</v>
      </c>
      <c r="G152" s="7">
        <v>129</v>
      </c>
      <c r="H152" s="7">
        <v>20452</v>
      </c>
      <c r="I152" s="7">
        <v>18857</v>
      </c>
    </row>
    <row r="153" spans="1:9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  <c r="F153" t="s">
        <v>106</v>
      </c>
      <c r="G153" s="7">
        <v>10</v>
      </c>
      <c r="H153" s="7">
        <v>638</v>
      </c>
      <c r="I153" s="7">
        <v>547</v>
      </c>
    </row>
    <row r="154" spans="1:9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  <c r="F154" t="s">
        <v>193</v>
      </c>
      <c r="G154" s="7">
        <v>36</v>
      </c>
      <c r="H154" s="7">
        <v>5413</v>
      </c>
      <c r="I154" s="7">
        <v>4959</v>
      </c>
    </row>
    <row r="155" spans="1:9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  <c r="F155" t="s">
        <v>61</v>
      </c>
      <c r="G155" s="7">
        <v>31</v>
      </c>
      <c r="H155" s="7">
        <v>4556</v>
      </c>
      <c r="I155" s="7">
        <v>4220</v>
      </c>
    </row>
    <row r="156" spans="1:9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  <c r="F156" t="s">
        <v>220</v>
      </c>
      <c r="G156" s="7">
        <v>21</v>
      </c>
      <c r="H156" s="7">
        <v>1891</v>
      </c>
      <c r="I156" s="7">
        <v>1709</v>
      </c>
    </row>
    <row r="157" spans="1:9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  <c r="F157" t="s">
        <v>34</v>
      </c>
      <c r="G157" s="7">
        <v>21</v>
      </c>
      <c r="H157" s="7">
        <v>1735</v>
      </c>
      <c r="I157" s="7">
        <v>1568</v>
      </c>
    </row>
    <row r="158" spans="1:9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  <c r="F158" t="s">
        <v>301</v>
      </c>
      <c r="G158" s="7">
        <v>19</v>
      </c>
      <c r="H158" s="7">
        <v>1542</v>
      </c>
      <c r="I158" s="7">
        <v>1412</v>
      </c>
    </row>
    <row r="159" spans="1:9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  <c r="F159" t="s">
        <v>355</v>
      </c>
      <c r="G159" s="7">
        <v>54</v>
      </c>
      <c r="H159" s="7">
        <v>11288</v>
      </c>
      <c r="I159" s="7">
        <v>10492</v>
      </c>
    </row>
    <row r="160" spans="1:9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  <c r="F160" t="s">
        <v>331</v>
      </c>
      <c r="G160" s="7">
        <v>59</v>
      </c>
      <c r="H160" s="7">
        <v>12016</v>
      </c>
      <c r="I160" s="7">
        <v>11137</v>
      </c>
    </row>
    <row r="161" spans="1:9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  <c r="F161" t="s">
        <v>115</v>
      </c>
      <c r="G161" s="7">
        <v>19</v>
      </c>
      <c r="H161" s="7">
        <v>1851</v>
      </c>
      <c r="I161" s="7">
        <v>1635</v>
      </c>
    </row>
    <row r="162" spans="1:9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  <c r="F162" t="s">
        <v>385</v>
      </c>
      <c r="G162" s="7">
        <v>15</v>
      </c>
      <c r="H162" s="7">
        <v>654</v>
      </c>
      <c r="I162" s="7">
        <v>570</v>
      </c>
    </row>
    <row r="163" spans="1:9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  <c r="F163" t="s">
        <v>250</v>
      </c>
      <c r="G163" s="7">
        <v>15</v>
      </c>
      <c r="H163" s="7">
        <v>849</v>
      </c>
      <c r="I163" s="7">
        <v>740</v>
      </c>
    </row>
    <row r="164" spans="1:9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  <c r="F164" t="s">
        <v>274</v>
      </c>
      <c r="G164" s="7">
        <v>15</v>
      </c>
      <c r="H164" s="7">
        <v>623</v>
      </c>
      <c r="I164" s="7">
        <v>535</v>
      </c>
    </row>
    <row r="165" spans="1:9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  <c r="F165" t="s">
        <v>166</v>
      </c>
      <c r="G165" s="7">
        <v>125</v>
      </c>
      <c r="H165" s="7">
        <v>20132</v>
      </c>
      <c r="I165" s="7">
        <v>18617</v>
      </c>
    </row>
    <row r="166" spans="1:9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  <c r="F166" t="s">
        <v>142</v>
      </c>
      <c r="G166" s="7">
        <v>129</v>
      </c>
      <c r="H166" s="7">
        <v>16420</v>
      </c>
      <c r="I166" s="7">
        <v>15169</v>
      </c>
    </row>
    <row r="167" spans="1:9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  <c r="F167" t="s">
        <v>85</v>
      </c>
      <c r="G167" s="7">
        <v>10</v>
      </c>
      <c r="H167" s="7">
        <v>644</v>
      </c>
      <c r="I167" s="7">
        <v>559</v>
      </c>
    </row>
    <row r="168" spans="1:9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  <c r="F168" t="s">
        <v>213</v>
      </c>
      <c r="G168" s="7">
        <v>36</v>
      </c>
      <c r="H168" s="7">
        <v>5746</v>
      </c>
      <c r="I168" s="7">
        <v>5277</v>
      </c>
    </row>
    <row r="169" spans="1:9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  <c r="F169" t="s">
        <v>78</v>
      </c>
      <c r="G169" s="7">
        <v>31</v>
      </c>
      <c r="H169" s="7">
        <v>5495</v>
      </c>
      <c r="I169" s="7">
        <v>5093</v>
      </c>
    </row>
    <row r="170" spans="1:9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  <c r="F170" t="s">
        <v>240</v>
      </c>
      <c r="G170" s="7">
        <v>21</v>
      </c>
      <c r="H170" s="7">
        <v>2120</v>
      </c>
      <c r="I170" s="7">
        <v>1921</v>
      </c>
    </row>
    <row r="171" spans="1:9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  <c r="F171" t="s">
        <v>51</v>
      </c>
      <c r="G171" s="7">
        <v>21</v>
      </c>
      <c r="H171" s="7">
        <v>2016</v>
      </c>
      <c r="I171" s="7">
        <v>1846</v>
      </c>
    </row>
    <row r="172" spans="1:9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  <c r="F172" t="s">
        <v>319</v>
      </c>
      <c r="G172" s="7">
        <v>19</v>
      </c>
      <c r="H172" s="7">
        <v>1836</v>
      </c>
      <c r="I172" s="7">
        <v>1680</v>
      </c>
    </row>
    <row r="173" spans="1:9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  <c r="F173" t="s">
        <v>373</v>
      </c>
      <c r="G173" s="7">
        <v>54</v>
      </c>
      <c r="H173" s="7">
        <v>13832</v>
      </c>
      <c r="I173" s="7">
        <v>12864</v>
      </c>
    </row>
    <row r="174" spans="1:9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  <c r="F174" t="s">
        <v>348</v>
      </c>
      <c r="G174" s="7">
        <v>59</v>
      </c>
      <c r="H174" s="7">
        <v>14569</v>
      </c>
      <c r="I174" s="7">
        <v>13566</v>
      </c>
    </row>
    <row r="175" spans="1:9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  <c r="F175" t="s">
        <v>132</v>
      </c>
      <c r="G175" s="7">
        <v>19</v>
      </c>
      <c r="H175" s="7">
        <v>1848</v>
      </c>
      <c r="I175" s="7">
        <v>1649</v>
      </c>
    </row>
    <row r="176" spans="1:9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  <c r="F176" t="s">
        <v>400</v>
      </c>
      <c r="G176" s="7">
        <v>15</v>
      </c>
      <c r="H176" s="7">
        <v>792</v>
      </c>
      <c r="I176" s="7">
        <v>695</v>
      </c>
    </row>
    <row r="177" spans="1:9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  <c r="F177" t="s">
        <v>267</v>
      </c>
      <c r="G177" s="7">
        <v>15</v>
      </c>
      <c r="H177" s="7">
        <v>950</v>
      </c>
      <c r="I177" s="7">
        <v>848</v>
      </c>
    </row>
    <row r="178" spans="1:9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  <c r="F178" t="s">
        <v>294</v>
      </c>
      <c r="G178" s="7">
        <v>15</v>
      </c>
      <c r="H178" s="7">
        <v>706</v>
      </c>
      <c r="I178" s="7">
        <v>608</v>
      </c>
    </row>
    <row r="179" spans="1:9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  <c r="F179" t="s">
        <v>186</v>
      </c>
      <c r="G179" s="7">
        <v>125</v>
      </c>
      <c r="H179" s="7">
        <v>20368</v>
      </c>
      <c r="I179" s="7">
        <v>18884</v>
      </c>
    </row>
    <row r="180" spans="1:9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  <c r="F180" t="s">
        <v>159</v>
      </c>
      <c r="G180" s="7">
        <v>129</v>
      </c>
      <c r="H180" s="7">
        <v>16437</v>
      </c>
      <c r="I180" s="7">
        <v>15285</v>
      </c>
    </row>
    <row r="181" spans="1:9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  <c r="F181" t="s">
        <v>105</v>
      </c>
      <c r="G181" s="7">
        <v>10</v>
      </c>
      <c r="H181" s="7">
        <v>642</v>
      </c>
      <c r="I181" s="7">
        <v>556</v>
      </c>
    </row>
    <row r="182" spans="1:9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  <c r="F182" t="s">
        <v>465</v>
      </c>
      <c r="G182" s="7">
        <v>36</v>
      </c>
      <c r="H182" s="7">
        <v>4150</v>
      </c>
      <c r="I182" s="7">
        <v>3838</v>
      </c>
    </row>
    <row r="183" spans="1:9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  <c r="F183" t="s">
        <v>426</v>
      </c>
      <c r="G183" s="7">
        <v>31</v>
      </c>
      <c r="H183" s="7">
        <v>4826</v>
      </c>
      <c r="I183" s="7">
        <v>4483</v>
      </c>
    </row>
    <row r="184" spans="1:9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  <c r="F184" t="s">
        <v>473</v>
      </c>
      <c r="G184" s="7">
        <v>21</v>
      </c>
      <c r="H184" s="7">
        <v>1916</v>
      </c>
      <c r="I184" s="7">
        <v>1733</v>
      </c>
    </row>
    <row r="185" spans="1:9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  <c r="F185" t="s">
        <v>413</v>
      </c>
      <c r="G185" s="7">
        <v>21</v>
      </c>
      <c r="H185" s="7">
        <v>1597</v>
      </c>
      <c r="I185" s="7">
        <v>1457</v>
      </c>
    </row>
    <row r="186" spans="1:9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  <c r="F186" t="s">
        <v>497</v>
      </c>
      <c r="G186" s="7">
        <v>19</v>
      </c>
      <c r="H186" s="7">
        <v>1527</v>
      </c>
      <c r="I186" s="7">
        <v>1389</v>
      </c>
    </row>
    <row r="187" spans="1:9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  <c r="F187" t="s">
        <v>513</v>
      </c>
      <c r="G187" s="7">
        <v>54</v>
      </c>
      <c r="H187" s="7">
        <v>10570</v>
      </c>
      <c r="I187" s="7">
        <v>9926</v>
      </c>
    </row>
    <row r="188" spans="1:9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  <c r="F188" t="s">
        <v>506</v>
      </c>
      <c r="G188" s="7">
        <v>60</v>
      </c>
      <c r="H188" s="7">
        <v>11100</v>
      </c>
      <c r="I188" s="7">
        <v>10407</v>
      </c>
    </row>
    <row r="189" spans="1:9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  <c r="F189" t="s">
        <v>442</v>
      </c>
      <c r="G189" s="7">
        <v>19</v>
      </c>
      <c r="H189" s="7">
        <v>2530</v>
      </c>
      <c r="I189" s="7">
        <v>2270</v>
      </c>
    </row>
    <row r="190" spans="1:9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  <c r="F190" t="s">
        <v>522</v>
      </c>
      <c r="G190" s="7">
        <v>15</v>
      </c>
      <c r="H190" s="7">
        <v>654</v>
      </c>
      <c r="I190" s="7">
        <v>564</v>
      </c>
    </row>
    <row r="191" spans="1:9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  <c r="F191" t="s">
        <v>482</v>
      </c>
      <c r="G191" s="7">
        <v>15</v>
      </c>
      <c r="H191" s="7">
        <v>812</v>
      </c>
      <c r="I191" s="7">
        <v>714</v>
      </c>
    </row>
    <row r="192" spans="1:9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  <c r="F192" t="s">
        <v>489</v>
      </c>
      <c r="G192" s="7">
        <v>15</v>
      </c>
      <c r="H192" s="7">
        <v>684</v>
      </c>
      <c r="I192" s="7">
        <v>585</v>
      </c>
    </row>
    <row r="193" spans="1:9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  <c r="F193" t="s">
        <v>457</v>
      </c>
      <c r="G193" s="7">
        <v>125</v>
      </c>
      <c r="H193" s="7">
        <v>18066</v>
      </c>
      <c r="I193" s="7">
        <v>16883</v>
      </c>
    </row>
    <row r="194" spans="1:9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  <c r="F194" t="s">
        <v>450</v>
      </c>
      <c r="G194" s="7">
        <v>129</v>
      </c>
      <c r="H194" s="7">
        <v>14043</v>
      </c>
      <c r="I194" s="7">
        <v>13167</v>
      </c>
    </row>
    <row r="195" spans="1:9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  <c r="F195" t="s">
        <v>433</v>
      </c>
      <c r="G195" s="7">
        <v>10</v>
      </c>
      <c r="H195" s="7">
        <v>494</v>
      </c>
      <c r="I195" s="7">
        <v>421</v>
      </c>
    </row>
    <row r="196" spans="1:9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  <c r="F196" t="s">
        <v>199</v>
      </c>
      <c r="G196" s="7">
        <v>36</v>
      </c>
      <c r="H196" s="7">
        <v>4418</v>
      </c>
      <c r="I196" s="7">
        <v>4088</v>
      </c>
    </row>
    <row r="197" spans="1:9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  <c r="F197" t="s">
        <v>67</v>
      </c>
      <c r="G197" s="7">
        <v>31</v>
      </c>
      <c r="H197" s="7">
        <v>4800</v>
      </c>
      <c r="I197" s="7">
        <v>4470</v>
      </c>
    </row>
    <row r="198" spans="1:9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  <c r="F198" t="s">
        <v>226</v>
      </c>
      <c r="G198" s="7">
        <v>21</v>
      </c>
      <c r="H198" s="7">
        <v>1926</v>
      </c>
      <c r="I198" s="7">
        <v>1745</v>
      </c>
    </row>
    <row r="199" spans="1:9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  <c r="F199" t="s">
        <v>40</v>
      </c>
      <c r="G199" s="7">
        <v>21</v>
      </c>
      <c r="H199" s="7">
        <v>1656</v>
      </c>
      <c r="I199" s="7">
        <v>1516</v>
      </c>
    </row>
    <row r="200" spans="1:9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  <c r="F200" t="s">
        <v>306</v>
      </c>
      <c r="G200" s="7">
        <v>19</v>
      </c>
      <c r="H200" s="7">
        <v>1598</v>
      </c>
      <c r="I200" s="7">
        <v>1454</v>
      </c>
    </row>
    <row r="201" spans="1:9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  <c r="F201" t="s">
        <v>360</v>
      </c>
      <c r="G201" s="7">
        <v>54</v>
      </c>
      <c r="H201" s="7">
        <v>11614</v>
      </c>
      <c r="I201" s="7">
        <v>10862</v>
      </c>
    </row>
    <row r="202" spans="1:9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  <c r="F202" t="s">
        <v>337</v>
      </c>
      <c r="G202" s="7">
        <v>60</v>
      </c>
      <c r="H202" s="7">
        <v>12000</v>
      </c>
      <c r="I202" s="7">
        <v>11194</v>
      </c>
    </row>
    <row r="203" spans="1:9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  <c r="F203" t="s">
        <v>121</v>
      </c>
      <c r="G203" s="7">
        <v>19</v>
      </c>
      <c r="H203" s="7">
        <v>1649</v>
      </c>
      <c r="I203" s="7">
        <v>1460</v>
      </c>
    </row>
    <row r="204" spans="1:9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  <c r="F204" t="s">
        <v>390</v>
      </c>
      <c r="G204" s="7">
        <v>15</v>
      </c>
      <c r="H204" s="7">
        <v>750</v>
      </c>
      <c r="I204" s="7">
        <v>659</v>
      </c>
    </row>
    <row r="205" spans="1:9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  <c r="F205" t="s">
        <v>256</v>
      </c>
      <c r="G205" s="7">
        <v>15</v>
      </c>
      <c r="H205" s="7">
        <v>845</v>
      </c>
      <c r="I205" s="7">
        <v>743</v>
      </c>
    </row>
    <row r="206" spans="1:9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  <c r="F206" t="s">
        <v>280</v>
      </c>
      <c r="G206" s="7">
        <v>15</v>
      </c>
      <c r="H206" s="7">
        <v>624</v>
      </c>
      <c r="I206" s="7">
        <v>538</v>
      </c>
    </row>
    <row r="207" spans="1:9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  <c r="F207" t="s">
        <v>172</v>
      </c>
      <c r="G207" s="7">
        <v>125</v>
      </c>
      <c r="H207" s="7">
        <v>21106</v>
      </c>
      <c r="I207" s="7">
        <v>19651</v>
      </c>
    </row>
    <row r="208" spans="1:9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  <c r="F208" t="s">
        <v>148</v>
      </c>
      <c r="G208" s="7">
        <v>129</v>
      </c>
      <c r="H208" s="7">
        <v>16387</v>
      </c>
      <c r="I208" s="7">
        <v>15322</v>
      </c>
    </row>
    <row r="209" spans="1:9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  <c r="F209" t="s">
        <v>91</v>
      </c>
      <c r="G209" s="7">
        <v>10</v>
      </c>
      <c r="H209" s="7">
        <v>526</v>
      </c>
      <c r="I209" s="7">
        <v>448</v>
      </c>
    </row>
    <row r="210" spans="1:9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  <c r="F210" t="s">
        <v>204</v>
      </c>
      <c r="G210" s="7">
        <v>36</v>
      </c>
      <c r="H210" s="7">
        <v>4967</v>
      </c>
      <c r="I210" s="7">
        <v>4583</v>
      </c>
    </row>
    <row r="211" spans="1:9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  <c r="F211" t="s">
        <v>72</v>
      </c>
      <c r="G211" s="7">
        <v>31</v>
      </c>
      <c r="H211" s="7">
        <v>5251</v>
      </c>
      <c r="I211" s="7">
        <v>4853</v>
      </c>
    </row>
    <row r="212" spans="1:9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  <c r="F212" t="s">
        <v>231</v>
      </c>
      <c r="G212" s="7">
        <v>21</v>
      </c>
      <c r="H212" s="7">
        <v>2061</v>
      </c>
      <c r="I212" s="7">
        <v>1876</v>
      </c>
    </row>
    <row r="213" spans="1:9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  <c r="F213" t="s">
        <v>45</v>
      </c>
      <c r="G213" s="7">
        <v>21</v>
      </c>
      <c r="H213" s="7">
        <v>1698</v>
      </c>
      <c r="I213" s="7">
        <v>1554</v>
      </c>
    </row>
    <row r="214" spans="1:9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  <c r="F214" t="s">
        <v>310</v>
      </c>
      <c r="G214" s="7">
        <v>19</v>
      </c>
      <c r="H214" s="7">
        <v>1605</v>
      </c>
      <c r="I214" s="7">
        <v>1447</v>
      </c>
    </row>
    <row r="215" spans="1:9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  <c r="F215" t="s">
        <v>364</v>
      </c>
      <c r="G215" s="7">
        <v>54</v>
      </c>
      <c r="H215" s="7">
        <v>11522</v>
      </c>
      <c r="I215" s="7">
        <v>10803</v>
      </c>
    </row>
    <row r="216" spans="1:9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  <c r="F216" t="s">
        <v>342</v>
      </c>
      <c r="G216" s="7">
        <v>60</v>
      </c>
      <c r="H216" s="7">
        <v>12007</v>
      </c>
      <c r="I216" s="7">
        <v>11245</v>
      </c>
    </row>
    <row r="217" spans="1:9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  <c r="F217" t="s">
        <v>126</v>
      </c>
      <c r="G217" s="7">
        <v>19</v>
      </c>
      <c r="H217" s="7">
        <v>1625</v>
      </c>
      <c r="I217" s="7">
        <v>1444</v>
      </c>
    </row>
    <row r="218" spans="1:9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  <c r="F218" t="s">
        <v>394</v>
      </c>
      <c r="G218" s="7">
        <v>15</v>
      </c>
      <c r="H218" s="7">
        <v>854</v>
      </c>
      <c r="I218" s="7">
        <v>756</v>
      </c>
    </row>
    <row r="219" spans="1:9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  <c r="F219" t="s">
        <v>261</v>
      </c>
      <c r="G219" s="7">
        <v>15</v>
      </c>
      <c r="H219" s="7">
        <v>898</v>
      </c>
      <c r="I219" s="7">
        <v>795</v>
      </c>
    </row>
    <row r="220" spans="1:9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  <c r="F220" t="s">
        <v>285</v>
      </c>
      <c r="G220" s="7">
        <v>15</v>
      </c>
      <c r="H220" s="7">
        <v>599</v>
      </c>
      <c r="I220" s="7">
        <v>515</v>
      </c>
    </row>
    <row r="221" spans="1:9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  <c r="F221" t="s">
        <v>177</v>
      </c>
      <c r="G221" s="7">
        <v>125</v>
      </c>
      <c r="H221" s="7">
        <v>19965</v>
      </c>
      <c r="I221" s="7">
        <v>18573</v>
      </c>
    </row>
    <row r="222" spans="1:9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  <c r="F222" t="s">
        <v>153</v>
      </c>
      <c r="G222" s="7">
        <v>129</v>
      </c>
      <c r="H222" s="7">
        <v>15304</v>
      </c>
      <c r="I222" s="7">
        <v>14315</v>
      </c>
    </row>
    <row r="223" spans="1:9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  <c r="F223" t="s">
        <v>96</v>
      </c>
      <c r="G223" s="7">
        <v>10</v>
      </c>
      <c r="H223" s="7">
        <v>612</v>
      </c>
      <c r="I223" s="7">
        <v>530</v>
      </c>
    </row>
    <row r="224" spans="1:9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  <c r="F224" t="s">
        <v>468</v>
      </c>
      <c r="G224" s="7">
        <v>36</v>
      </c>
      <c r="H224" s="7">
        <v>4285</v>
      </c>
      <c r="I224" s="7">
        <v>3950</v>
      </c>
    </row>
    <row r="225" spans="1:9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  <c r="F225" t="s">
        <v>428</v>
      </c>
      <c r="G225" s="7">
        <v>31</v>
      </c>
      <c r="H225" s="7">
        <v>4695</v>
      </c>
      <c r="I225" s="7">
        <v>4372</v>
      </c>
    </row>
    <row r="226" spans="1:9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  <c r="F226" t="s">
        <v>476</v>
      </c>
      <c r="G226" s="7">
        <v>21</v>
      </c>
      <c r="H226" s="7">
        <v>1993</v>
      </c>
      <c r="I226" s="7">
        <v>1796</v>
      </c>
    </row>
    <row r="227" spans="1:9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  <c r="F227" t="s">
        <v>417</v>
      </c>
      <c r="G227" s="7">
        <v>21</v>
      </c>
      <c r="H227" s="7">
        <v>1706</v>
      </c>
      <c r="I227" s="7">
        <v>1548</v>
      </c>
    </row>
    <row r="228" spans="1:9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  <c r="F228" t="s">
        <v>500</v>
      </c>
      <c r="G228" s="7">
        <v>19</v>
      </c>
      <c r="H228" s="7">
        <v>1635</v>
      </c>
      <c r="I228" s="7">
        <v>1487</v>
      </c>
    </row>
    <row r="229" spans="1:9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  <c r="F229" t="s">
        <v>516</v>
      </c>
      <c r="G229" s="7">
        <v>54</v>
      </c>
      <c r="H229" s="7">
        <v>11194</v>
      </c>
      <c r="I229" s="7">
        <v>10554</v>
      </c>
    </row>
    <row r="230" spans="1:9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  <c r="F230" t="s">
        <v>508</v>
      </c>
      <c r="G230" s="7">
        <v>60</v>
      </c>
      <c r="H230" s="7">
        <v>11935</v>
      </c>
      <c r="I230" s="7">
        <v>11178</v>
      </c>
    </row>
    <row r="231" spans="1:9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  <c r="F231" t="s">
        <v>444</v>
      </c>
      <c r="G231" s="7">
        <v>19</v>
      </c>
      <c r="H231" s="7">
        <v>1675</v>
      </c>
      <c r="I231" s="7">
        <v>1475</v>
      </c>
    </row>
    <row r="232" spans="1:9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  <c r="F232" t="s">
        <v>524</v>
      </c>
      <c r="G232" s="7">
        <v>16</v>
      </c>
      <c r="H232" s="7">
        <v>834</v>
      </c>
      <c r="I232" s="7">
        <v>735</v>
      </c>
    </row>
    <row r="233" spans="1:9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  <c r="F233" t="s">
        <v>484</v>
      </c>
      <c r="G233" s="7">
        <v>15</v>
      </c>
      <c r="H233" s="7">
        <v>890</v>
      </c>
      <c r="I233" s="7">
        <v>777</v>
      </c>
    </row>
    <row r="234" spans="1:9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  <c r="F234" t="s">
        <v>492</v>
      </c>
      <c r="G234" s="7">
        <v>15</v>
      </c>
      <c r="H234" s="7">
        <v>638</v>
      </c>
      <c r="I234" s="7">
        <v>548</v>
      </c>
    </row>
    <row r="235" spans="1:9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  <c r="F235" t="s">
        <v>460</v>
      </c>
      <c r="G235" s="7">
        <v>125</v>
      </c>
      <c r="H235" s="7">
        <v>20247</v>
      </c>
      <c r="I235" s="7">
        <v>18812</v>
      </c>
    </row>
    <row r="236" spans="1:9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  <c r="F236" t="s">
        <v>452</v>
      </c>
      <c r="G236" s="7">
        <v>129</v>
      </c>
      <c r="H236" s="7">
        <v>15804</v>
      </c>
      <c r="I236" s="7">
        <v>14738</v>
      </c>
    </row>
    <row r="237" spans="1:9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  <c r="F237" t="s">
        <v>436</v>
      </c>
      <c r="G237" s="7">
        <v>10</v>
      </c>
      <c r="H237" s="7">
        <v>627</v>
      </c>
      <c r="I237" s="7">
        <v>545</v>
      </c>
    </row>
    <row r="238" spans="1:9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  <c r="F238" t="s">
        <v>469</v>
      </c>
      <c r="G238" s="7">
        <v>36</v>
      </c>
      <c r="H238" s="7">
        <v>4862</v>
      </c>
      <c r="I238" s="7">
        <v>4476</v>
      </c>
    </row>
    <row r="239" spans="1:9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  <c r="F239" t="s">
        <v>429</v>
      </c>
      <c r="G239" s="7">
        <v>31</v>
      </c>
      <c r="H239" s="7">
        <v>5184</v>
      </c>
      <c r="I239" s="7">
        <v>4778</v>
      </c>
    </row>
    <row r="240" spans="1:9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  <c r="F240" t="s">
        <v>477</v>
      </c>
      <c r="G240" s="7">
        <v>21</v>
      </c>
      <c r="H240" s="7">
        <v>2255</v>
      </c>
      <c r="I240" s="7">
        <v>2045</v>
      </c>
    </row>
    <row r="241" spans="1:9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  <c r="F241" t="s">
        <v>418</v>
      </c>
      <c r="G241" s="7">
        <v>21</v>
      </c>
      <c r="H241" s="7">
        <v>1926</v>
      </c>
      <c r="I241" s="7">
        <v>1742</v>
      </c>
    </row>
    <row r="242" spans="1:9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  <c r="F242" t="s">
        <v>501</v>
      </c>
      <c r="G242" s="7">
        <v>19</v>
      </c>
      <c r="H242" s="7">
        <v>1780</v>
      </c>
      <c r="I242" s="7">
        <v>1615</v>
      </c>
    </row>
    <row r="243" spans="1:9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  <c r="F243" t="s">
        <v>517</v>
      </c>
      <c r="G243" s="7">
        <v>54</v>
      </c>
      <c r="H243" s="7">
        <v>12791</v>
      </c>
      <c r="I243" s="7">
        <v>11950</v>
      </c>
    </row>
    <row r="244" spans="1:9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  <c r="F244" t="s">
        <v>509</v>
      </c>
      <c r="G244" s="7">
        <v>60</v>
      </c>
      <c r="H244" s="7">
        <v>13544</v>
      </c>
      <c r="I244" s="7">
        <v>12643</v>
      </c>
    </row>
    <row r="245" spans="1:9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  <c r="F245" t="s">
        <v>445</v>
      </c>
      <c r="G245" s="7">
        <v>19</v>
      </c>
      <c r="H245" s="7">
        <v>1940</v>
      </c>
      <c r="I245" s="7">
        <v>1715</v>
      </c>
    </row>
    <row r="246" spans="1:9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  <c r="F246" t="s">
        <v>525</v>
      </c>
      <c r="G246" s="7">
        <v>16</v>
      </c>
      <c r="H246" s="7">
        <v>817</v>
      </c>
      <c r="I246" s="7">
        <v>718</v>
      </c>
    </row>
    <row r="247" spans="1:9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  <c r="F247" t="s">
        <v>485</v>
      </c>
      <c r="G247" s="7">
        <v>15</v>
      </c>
      <c r="H247" s="7">
        <v>980</v>
      </c>
      <c r="I247" s="7">
        <v>867</v>
      </c>
    </row>
    <row r="248" spans="1:9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  <c r="F248" t="s">
        <v>493</v>
      </c>
      <c r="G248" s="7">
        <v>15</v>
      </c>
      <c r="H248" s="7">
        <v>688</v>
      </c>
      <c r="I248" s="7">
        <v>598</v>
      </c>
    </row>
    <row r="249" spans="1:9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  <c r="F249" t="s">
        <v>461</v>
      </c>
      <c r="G249" s="7">
        <v>125</v>
      </c>
      <c r="H249" s="7">
        <v>21862</v>
      </c>
      <c r="I249" s="7">
        <v>20235</v>
      </c>
    </row>
    <row r="250" spans="1:9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  <c r="F250" t="s">
        <v>453</v>
      </c>
      <c r="G250" s="7">
        <v>129</v>
      </c>
      <c r="H250" s="7">
        <v>17808</v>
      </c>
      <c r="I250" s="7">
        <v>16486</v>
      </c>
    </row>
    <row r="251" spans="1:9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  <c r="F251" t="s">
        <v>437</v>
      </c>
      <c r="G251" s="7">
        <v>10</v>
      </c>
      <c r="H251" s="7">
        <v>743</v>
      </c>
      <c r="I251" s="7">
        <v>652</v>
      </c>
    </row>
    <row r="252" spans="1:9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  <c r="F252" t="s">
        <v>190</v>
      </c>
      <c r="G252" s="7">
        <v>36</v>
      </c>
      <c r="H252" s="7">
        <v>5286</v>
      </c>
      <c r="I252" s="7">
        <v>4867</v>
      </c>
    </row>
    <row r="253" spans="1:9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  <c r="F253" t="s">
        <v>58</v>
      </c>
      <c r="G253" s="7">
        <v>31</v>
      </c>
      <c r="H253" s="7">
        <v>5593</v>
      </c>
      <c r="I253" s="7">
        <v>5177</v>
      </c>
    </row>
    <row r="254" spans="1:9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  <c r="F254" t="s">
        <v>217</v>
      </c>
      <c r="G254" s="7">
        <v>21</v>
      </c>
      <c r="H254" s="7">
        <v>2427</v>
      </c>
      <c r="I254" s="7">
        <v>2213</v>
      </c>
    </row>
    <row r="255" spans="1:9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  <c r="F255" t="s">
        <v>31</v>
      </c>
      <c r="G255" s="7">
        <v>21</v>
      </c>
      <c r="H255" s="7">
        <v>2145</v>
      </c>
      <c r="I255" s="7">
        <v>1947</v>
      </c>
    </row>
    <row r="256" spans="1:9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  <c r="F256" t="s">
        <v>298</v>
      </c>
      <c r="G256" s="7">
        <v>19</v>
      </c>
      <c r="H256" s="7">
        <v>2039</v>
      </c>
      <c r="I256" s="7">
        <v>1868</v>
      </c>
    </row>
    <row r="257" spans="1:9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  <c r="F257" t="s">
        <v>352</v>
      </c>
      <c r="G257" s="7">
        <v>54</v>
      </c>
      <c r="H257" s="7">
        <v>13170</v>
      </c>
      <c r="I257" s="7">
        <v>12299</v>
      </c>
    </row>
    <row r="258" spans="1:9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  <c r="F258" t="s">
        <v>328</v>
      </c>
      <c r="G258" s="7">
        <v>60</v>
      </c>
      <c r="H258" s="7">
        <v>14049</v>
      </c>
      <c r="I258" s="7">
        <v>13118</v>
      </c>
    </row>
    <row r="259" spans="1:9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  <c r="F259" t="s">
        <v>112</v>
      </c>
      <c r="G259" s="7">
        <v>19</v>
      </c>
      <c r="H259" s="7">
        <v>2080</v>
      </c>
      <c r="I259" s="7">
        <v>1844</v>
      </c>
    </row>
    <row r="260" spans="1:9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  <c r="F260" t="s">
        <v>382</v>
      </c>
      <c r="G260" s="7">
        <v>16</v>
      </c>
      <c r="H260" s="7">
        <v>920</v>
      </c>
      <c r="I260" s="7">
        <v>818</v>
      </c>
    </row>
    <row r="261" spans="1:9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  <c r="F261" t="s">
        <v>247</v>
      </c>
      <c r="G261" s="7">
        <v>15</v>
      </c>
      <c r="H261" s="7">
        <v>1111</v>
      </c>
      <c r="I261" s="7">
        <v>992</v>
      </c>
    </row>
    <row r="262" spans="1:9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  <c r="F262" t="s">
        <v>271</v>
      </c>
      <c r="G262" s="7">
        <v>15</v>
      </c>
      <c r="H262" s="7">
        <v>747</v>
      </c>
      <c r="I262" s="7">
        <v>647</v>
      </c>
    </row>
    <row r="263" spans="1:9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  <c r="F263" t="s">
        <v>163</v>
      </c>
      <c r="G263" s="7">
        <v>125</v>
      </c>
      <c r="H263" s="7">
        <v>22291</v>
      </c>
      <c r="I263" s="7">
        <v>20635</v>
      </c>
    </row>
    <row r="264" spans="1:9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  <c r="F264" t="s">
        <v>139</v>
      </c>
      <c r="G264" s="7">
        <v>129</v>
      </c>
      <c r="H264" s="7">
        <v>17914</v>
      </c>
      <c r="I264" s="7">
        <v>16631</v>
      </c>
    </row>
    <row r="265" spans="1:9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  <c r="F265" t="s">
        <v>82</v>
      </c>
      <c r="G265" s="7">
        <v>10</v>
      </c>
      <c r="H265" s="7">
        <v>760</v>
      </c>
      <c r="I265" s="7">
        <v>672</v>
      </c>
    </row>
    <row r="266" spans="1:9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  <c r="F266" t="s">
        <v>192</v>
      </c>
      <c r="G266" s="7">
        <v>36</v>
      </c>
      <c r="H266" s="7">
        <v>4918</v>
      </c>
      <c r="I266" s="7">
        <v>4554</v>
      </c>
    </row>
    <row r="267" spans="1:9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  <c r="F267" t="s">
        <v>60</v>
      </c>
      <c r="G267" s="7">
        <v>31</v>
      </c>
      <c r="H267" s="7">
        <v>5206</v>
      </c>
      <c r="I267" s="7">
        <v>4843</v>
      </c>
    </row>
    <row r="268" spans="1:9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  <c r="F268" t="s">
        <v>219</v>
      </c>
      <c r="G268" s="7">
        <v>21</v>
      </c>
      <c r="H268" s="7">
        <v>2054</v>
      </c>
      <c r="I268" s="7">
        <v>1883</v>
      </c>
    </row>
    <row r="269" spans="1:9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  <c r="F269" t="s">
        <v>33</v>
      </c>
      <c r="G269" s="7">
        <v>21</v>
      </c>
      <c r="H269" s="7">
        <v>1874</v>
      </c>
      <c r="I269" s="7">
        <v>1705</v>
      </c>
    </row>
    <row r="270" spans="1:9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  <c r="F270" t="s">
        <v>300</v>
      </c>
      <c r="G270" s="7">
        <v>19</v>
      </c>
      <c r="H270" s="7">
        <v>1790</v>
      </c>
      <c r="I270" s="7">
        <v>1633</v>
      </c>
    </row>
    <row r="271" spans="1:9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  <c r="F271" t="s">
        <v>354</v>
      </c>
      <c r="G271" s="7">
        <v>54</v>
      </c>
      <c r="H271" s="7">
        <v>11128</v>
      </c>
      <c r="I271" s="7">
        <v>10467</v>
      </c>
    </row>
    <row r="272" spans="1:9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  <c r="F272" t="s">
        <v>330</v>
      </c>
      <c r="G272" s="7">
        <v>60</v>
      </c>
      <c r="H272" s="7">
        <v>11698</v>
      </c>
      <c r="I272" s="7">
        <v>10989</v>
      </c>
    </row>
    <row r="273" spans="1:9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  <c r="F273" t="s">
        <v>114</v>
      </c>
      <c r="G273" s="7">
        <v>19</v>
      </c>
      <c r="H273" s="7">
        <v>1871</v>
      </c>
      <c r="I273" s="7">
        <v>1660</v>
      </c>
    </row>
    <row r="274" spans="1:9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  <c r="F274" t="s">
        <v>384</v>
      </c>
      <c r="G274" s="7">
        <v>16</v>
      </c>
      <c r="H274" s="7">
        <v>859</v>
      </c>
      <c r="I274" s="7">
        <v>746</v>
      </c>
    </row>
    <row r="275" spans="1:9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  <c r="F275" t="s">
        <v>249</v>
      </c>
      <c r="G275" s="7">
        <v>15</v>
      </c>
      <c r="H275" s="7">
        <v>971</v>
      </c>
      <c r="I275" s="7">
        <v>856</v>
      </c>
    </row>
    <row r="276" spans="1:9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  <c r="F276" t="s">
        <v>273</v>
      </c>
      <c r="G276" s="7">
        <v>15</v>
      </c>
      <c r="H276" s="7">
        <v>692</v>
      </c>
      <c r="I276" s="7">
        <v>591</v>
      </c>
    </row>
    <row r="277" spans="1:9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  <c r="F277" t="s">
        <v>165</v>
      </c>
      <c r="G277" s="7">
        <v>125</v>
      </c>
      <c r="H277" s="7">
        <v>20079</v>
      </c>
      <c r="I277" s="7">
        <v>18721</v>
      </c>
    </row>
    <row r="278" spans="1:9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  <c r="F278" t="s">
        <v>141</v>
      </c>
      <c r="G278" s="7">
        <v>129</v>
      </c>
      <c r="H278" s="7">
        <v>15744</v>
      </c>
      <c r="I278" s="7">
        <v>14685</v>
      </c>
    </row>
    <row r="279" spans="1:9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  <c r="F279" t="s">
        <v>84</v>
      </c>
      <c r="G279" s="7">
        <v>10</v>
      </c>
      <c r="H279" s="7">
        <v>591</v>
      </c>
      <c r="I279" s="7">
        <v>513</v>
      </c>
    </row>
    <row r="280" spans="1:9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  <c r="F280" t="s">
        <v>467</v>
      </c>
      <c r="G280" s="7">
        <v>36</v>
      </c>
      <c r="H280" s="7">
        <v>4885</v>
      </c>
      <c r="I280" s="7">
        <v>4502</v>
      </c>
    </row>
    <row r="281" spans="1:9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  <c r="F281" t="s">
        <v>427</v>
      </c>
      <c r="G281" s="7">
        <v>31</v>
      </c>
      <c r="H281" s="7">
        <v>5165</v>
      </c>
      <c r="I281" s="7">
        <v>4813</v>
      </c>
    </row>
    <row r="282" spans="1:9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  <c r="F282" t="s">
        <v>475</v>
      </c>
      <c r="G282" s="7">
        <v>21</v>
      </c>
      <c r="H282" s="7">
        <v>2136</v>
      </c>
      <c r="I282" s="7">
        <v>1947</v>
      </c>
    </row>
    <row r="283" spans="1:9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  <c r="F283" t="s">
        <v>416</v>
      </c>
      <c r="G283" s="7">
        <v>21</v>
      </c>
      <c r="H283" s="7">
        <v>1834</v>
      </c>
      <c r="I283" s="7">
        <v>1660</v>
      </c>
    </row>
    <row r="284" spans="1:9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  <c r="F284" t="s">
        <v>499</v>
      </c>
      <c r="G284" s="7">
        <v>19</v>
      </c>
      <c r="H284" s="7">
        <v>1741</v>
      </c>
      <c r="I284" s="7">
        <v>1597</v>
      </c>
    </row>
    <row r="285" spans="1:9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  <c r="F285" t="s">
        <v>515</v>
      </c>
      <c r="G285" s="7">
        <v>54</v>
      </c>
      <c r="H285" s="7">
        <v>12012</v>
      </c>
      <c r="I285" s="7">
        <v>11308</v>
      </c>
    </row>
    <row r="286" spans="1:9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  <c r="F286" t="s">
        <v>507</v>
      </c>
      <c r="G286" s="7">
        <v>60</v>
      </c>
      <c r="H286" s="7">
        <v>12460</v>
      </c>
      <c r="I286" s="7">
        <v>11665</v>
      </c>
    </row>
    <row r="287" spans="1:9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  <c r="F287" t="s">
        <v>443</v>
      </c>
      <c r="G287" s="7">
        <v>19</v>
      </c>
      <c r="H287" s="7">
        <v>1858</v>
      </c>
      <c r="I287" s="7">
        <v>1648</v>
      </c>
    </row>
    <row r="288" spans="1:9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  <c r="F288" t="s">
        <v>523</v>
      </c>
      <c r="G288" s="7">
        <v>16</v>
      </c>
      <c r="H288" s="7">
        <v>864</v>
      </c>
      <c r="I288" s="7">
        <v>765</v>
      </c>
    </row>
    <row r="289" spans="1:9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  <c r="F289" t="s">
        <v>483</v>
      </c>
      <c r="G289" s="7">
        <v>16</v>
      </c>
      <c r="H289" s="7">
        <v>925</v>
      </c>
      <c r="I289" s="7">
        <v>816</v>
      </c>
    </row>
    <row r="290" spans="1:9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  <c r="F290" t="s">
        <v>491</v>
      </c>
      <c r="G290" s="7">
        <v>15</v>
      </c>
      <c r="H290" s="7">
        <v>729</v>
      </c>
      <c r="I290" s="7">
        <v>636</v>
      </c>
    </row>
    <row r="291" spans="1:9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  <c r="F291" t="s">
        <v>459</v>
      </c>
      <c r="G291" s="7">
        <v>125</v>
      </c>
      <c r="H291" s="7">
        <v>20449</v>
      </c>
      <c r="I291" s="7">
        <v>19060</v>
      </c>
    </row>
    <row r="292" spans="1:9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  <c r="F292" t="s">
        <v>451</v>
      </c>
      <c r="G292" s="7">
        <v>129</v>
      </c>
      <c r="H292" s="7">
        <v>16110</v>
      </c>
      <c r="I292" s="7">
        <v>14992</v>
      </c>
    </row>
    <row r="293" spans="1:9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  <c r="F293" t="s">
        <v>435</v>
      </c>
      <c r="G293" s="7">
        <v>10</v>
      </c>
      <c r="H293" s="7">
        <v>645</v>
      </c>
      <c r="I293" s="7">
        <v>565</v>
      </c>
    </row>
    <row r="294" spans="1:9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  <c r="F294" t="s">
        <v>191</v>
      </c>
      <c r="G294" s="7">
        <v>36</v>
      </c>
      <c r="H294" s="7">
        <v>5094</v>
      </c>
      <c r="I294" s="7">
        <v>4716</v>
      </c>
    </row>
    <row r="295" spans="1:9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  <c r="F295" t="s">
        <v>59</v>
      </c>
      <c r="G295" s="7">
        <v>31</v>
      </c>
      <c r="H295" s="7">
        <v>5389</v>
      </c>
      <c r="I295" s="7">
        <v>5024</v>
      </c>
    </row>
    <row r="296" spans="1:9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  <c r="F296" t="s">
        <v>218</v>
      </c>
      <c r="G296" s="7">
        <v>21</v>
      </c>
      <c r="H296" s="7">
        <v>2245</v>
      </c>
      <c r="I296" s="7">
        <v>2053</v>
      </c>
    </row>
    <row r="297" spans="1:9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  <c r="F297" t="s">
        <v>32</v>
      </c>
      <c r="G297" s="7">
        <v>21</v>
      </c>
      <c r="H297" s="7">
        <v>1860</v>
      </c>
      <c r="I297" s="7">
        <v>1704</v>
      </c>
    </row>
    <row r="298" spans="1:9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  <c r="F298" t="s">
        <v>299</v>
      </c>
      <c r="G298" s="7">
        <v>19</v>
      </c>
      <c r="H298" s="7">
        <v>1831</v>
      </c>
      <c r="I298" s="7">
        <v>1667</v>
      </c>
    </row>
    <row r="299" spans="1:9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  <c r="F299" t="s">
        <v>353</v>
      </c>
      <c r="G299" s="7">
        <v>54</v>
      </c>
      <c r="H299" s="7">
        <v>13070</v>
      </c>
      <c r="I299" s="7">
        <v>12244</v>
      </c>
    </row>
    <row r="300" spans="1:9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  <c r="F300" t="s">
        <v>329</v>
      </c>
      <c r="G300" s="7">
        <v>60</v>
      </c>
      <c r="H300" s="7">
        <v>13867</v>
      </c>
      <c r="I300" s="7">
        <v>12987</v>
      </c>
    </row>
    <row r="301" spans="1:9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  <c r="F301" t="s">
        <v>113</v>
      </c>
      <c r="G301" s="7">
        <v>19</v>
      </c>
      <c r="H301" s="7">
        <v>1999</v>
      </c>
      <c r="I301" s="7">
        <v>1799</v>
      </c>
    </row>
    <row r="302" spans="1:9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  <c r="F302" t="s">
        <v>383</v>
      </c>
      <c r="G302" s="7">
        <v>17</v>
      </c>
      <c r="H302" s="7">
        <v>857</v>
      </c>
      <c r="I302" s="7">
        <v>757</v>
      </c>
    </row>
    <row r="303" spans="1:9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  <c r="F303" t="s">
        <v>248</v>
      </c>
      <c r="G303" s="7">
        <v>16</v>
      </c>
      <c r="H303" s="7">
        <v>1012</v>
      </c>
      <c r="I303" s="7">
        <v>900</v>
      </c>
    </row>
    <row r="304" spans="1:9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  <c r="F304" t="s">
        <v>272</v>
      </c>
      <c r="G304" s="7">
        <v>15</v>
      </c>
      <c r="H304" s="7">
        <v>930</v>
      </c>
      <c r="I304" s="7">
        <v>827</v>
      </c>
    </row>
    <row r="305" spans="1:9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  <c r="F305" t="s">
        <v>164</v>
      </c>
      <c r="G305" s="7">
        <v>125</v>
      </c>
      <c r="H305" s="7">
        <v>20771</v>
      </c>
      <c r="I305" s="7">
        <v>19338</v>
      </c>
    </row>
    <row r="306" spans="1:9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  <c r="F306" t="s">
        <v>140</v>
      </c>
      <c r="G306" s="7">
        <v>129</v>
      </c>
      <c r="H306" s="7">
        <v>16191</v>
      </c>
      <c r="I306" s="7">
        <v>15102</v>
      </c>
    </row>
    <row r="307" spans="1:9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  <c r="F307" t="s">
        <v>83</v>
      </c>
      <c r="G307" s="7">
        <v>10</v>
      </c>
      <c r="H307" s="7">
        <v>649</v>
      </c>
      <c r="I307" s="7">
        <v>568</v>
      </c>
    </row>
    <row r="308" spans="1:9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  <c r="F308" t="s">
        <v>201</v>
      </c>
      <c r="G308" s="7">
        <v>36</v>
      </c>
      <c r="H308" s="7">
        <v>5914</v>
      </c>
      <c r="I308" s="7">
        <v>5384</v>
      </c>
    </row>
    <row r="309" spans="1:9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  <c r="F309" t="s">
        <v>69</v>
      </c>
      <c r="G309" s="7">
        <v>31</v>
      </c>
      <c r="H309" s="7">
        <v>5698</v>
      </c>
      <c r="I309" s="7">
        <v>5258</v>
      </c>
    </row>
    <row r="310" spans="1:9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  <c r="F310" t="s">
        <v>228</v>
      </c>
      <c r="G310" s="7">
        <v>21</v>
      </c>
      <c r="H310" s="7">
        <v>2410</v>
      </c>
      <c r="I310" s="7">
        <v>2202</v>
      </c>
    </row>
    <row r="311" spans="1:9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  <c r="F311" t="s">
        <v>42</v>
      </c>
      <c r="G311" s="7">
        <v>21</v>
      </c>
      <c r="H311" s="7">
        <v>1921</v>
      </c>
      <c r="I311" s="7">
        <v>1767</v>
      </c>
    </row>
    <row r="312" spans="1:9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  <c r="F312" t="s">
        <v>308</v>
      </c>
      <c r="G312" s="7">
        <v>19</v>
      </c>
      <c r="H312" s="7">
        <v>1823</v>
      </c>
      <c r="I312" s="7">
        <v>1678</v>
      </c>
    </row>
    <row r="313" spans="1:9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  <c r="F313" t="s">
        <v>362</v>
      </c>
      <c r="G313" s="7">
        <v>54</v>
      </c>
      <c r="H313" s="7">
        <v>13298</v>
      </c>
      <c r="I313" s="7">
        <v>12428</v>
      </c>
    </row>
    <row r="314" spans="1:9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  <c r="F314" t="s">
        <v>339</v>
      </c>
      <c r="G314" s="7">
        <v>60</v>
      </c>
      <c r="H314" s="7">
        <v>13792</v>
      </c>
      <c r="I314" s="7">
        <v>12834</v>
      </c>
    </row>
    <row r="315" spans="1:9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  <c r="F315" t="s">
        <v>123</v>
      </c>
      <c r="G315" s="7">
        <v>19</v>
      </c>
      <c r="H315" s="7">
        <v>1889</v>
      </c>
      <c r="I315" s="7">
        <v>1690</v>
      </c>
    </row>
    <row r="316" spans="1:9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  <c r="F316" t="s">
        <v>392</v>
      </c>
      <c r="G316" s="7">
        <v>17</v>
      </c>
      <c r="H316" s="7">
        <v>890</v>
      </c>
      <c r="I316" s="7">
        <v>794</v>
      </c>
    </row>
    <row r="317" spans="1:9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  <c r="F317" t="s">
        <v>258</v>
      </c>
      <c r="G317" s="7">
        <v>16</v>
      </c>
      <c r="H317" s="7">
        <v>1050</v>
      </c>
      <c r="I317" s="7">
        <v>938</v>
      </c>
    </row>
    <row r="318" spans="1:9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  <c r="F318" t="s">
        <v>282</v>
      </c>
      <c r="G318" s="7">
        <v>15</v>
      </c>
      <c r="H318" s="7">
        <v>760</v>
      </c>
      <c r="I318" s="7">
        <v>664</v>
      </c>
    </row>
    <row r="319" spans="1:9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  <c r="F319" t="s">
        <v>174</v>
      </c>
      <c r="G319" s="7">
        <v>125</v>
      </c>
      <c r="H319" s="7">
        <v>21674</v>
      </c>
      <c r="I319" s="7">
        <v>20155</v>
      </c>
    </row>
    <row r="320" spans="1:9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  <c r="F320" t="s">
        <v>150</v>
      </c>
      <c r="G320" s="7">
        <v>129</v>
      </c>
      <c r="H320" s="7">
        <v>17095</v>
      </c>
      <c r="I320" s="7">
        <v>15919</v>
      </c>
    </row>
    <row r="321" spans="1:9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  <c r="F321" t="s">
        <v>93</v>
      </c>
      <c r="G321" s="7">
        <v>10</v>
      </c>
      <c r="H321" s="7">
        <v>745</v>
      </c>
      <c r="I321" s="7">
        <v>654</v>
      </c>
    </row>
    <row r="322" spans="1:9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  <c r="F322" t="s">
        <v>200</v>
      </c>
      <c r="G322" s="7">
        <v>36</v>
      </c>
      <c r="H322" s="7">
        <v>4816</v>
      </c>
      <c r="I322" s="7">
        <v>4452</v>
      </c>
    </row>
    <row r="323" spans="1:9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  <c r="F323" t="s">
        <v>68</v>
      </c>
      <c r="G323" s="7">
        <v>31</v>
      </c>
      <c r="H323" s="7">
        <v>5207</v>
      </c>
      <c r="I323" s="7">
        <v>4868</v>
      </c>
    </row>
    <row r="324" spans="1:9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  <c r="F324" t="s">
        <v>227</v>
      </c>
      <c r="G324" s="7">
        <v>21</v>
      </c>
      <c r="H324" s="7">
        <v>2335</v>
      </c>
      <c r="I324" s="7">
        <v>2126</v>
      </c>
    </row>
    <row r="325" spans="1:9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  <c r="F325" t="s">
        <v>41</v>
      </c>
      <c r="G325" s="7">
        <v>21</v>
      </c>
      <c r="H325" s="7">
        <v>1787</v>
      </c>
      <c r="I325" s="7">
        <v>1626</v>
      </c>
    </row>
    <row r="326" spans="1:9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  <c r="F326" t="s">
        <v>307</v>
      </c>
      <c r="G326" s="7">
        <v>19</v>
      </c>
      <c r="H326" s="7">
        <v>1650</v>
      </c>
      <c r="I326" s="7">
        <v>1505</v>
      </c>
    </row>
    <row r="327" spans="1:9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  <c r="F327" t="s">
        <v>361</v>
      </c>
      <c r="G327" s="7">
        <v>54</v>
      </c>
      <c r="H327" s="7">
        <v>13240</v>
      </c>
      <c r="I327" s="7">
        <v>12360</v>
      </c>
    </row>
    <row r="328" spans="1:9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  <c r="F328" t="s">
        <v>338</v>
      </c>
      <c r="G328" s="7">
        <v>60</v>
      </c>
      <c r="H328" s="7">
        <v>14005</v>
      </c>
      <c r="I328" s="7">
        <v>13002</v>
      </c>
    </row>
    <row r="329" spans="1:9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  <c r="F329" t="s">
        <v>122</v>
      </c>
      <c r="G329" s="7">
        <v>19</v>
      </c>
      <c r="H329" s="7">
        <v>1949</v>
      </c>
      <c r="I329" s="7">
        <v>1724</v>
      </c>
    </row>
    <row r="330" spans="1:9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  <c r="F330" t="s">
        <v>391</v>
      </c>
      <c r="G330" s="7">
        <v>18</v>
      </c>
      <c r="H330" s="7">
        <v>888</v>
      </c>
      <c r="I330" s="7">
        <v>786</v>
      </c>
    </row>
    <row r="331" spans="1:9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  <c r="F331" t="s">
        <v>257</v>
      </c>
      <c r="G331" s="7">
        <v>17</v>
      </c>
      <c r="H331" s="7">
        <v>1045</v>
      </c>
      <c r="I331" s="7">
        <v>930</v>
      </c>
    </row>
    <row r="332" spans="1:9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  <c r="F332" t="s">
        <v>281</v>
      </c>
      <c r="G332" s="7">
        <v>15</v>
      </c>
      <c r="H332" s="7">
        <v>749</v>
      </c>
      <c r="I332" s="7">
        <v>652</v>
      </c>
    </row>
    <row r="333" spans="1:9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  <c r="F333" t="s">
        <v>173</v>
      </c>
      <c r="G333" s="7">
        <v>125</v>
      </c>
      <c r="H333" s="7">
        <v>20911</v>
      </c>
      <c r="I333" s="7">
        <v>19358</v>
      </c>
    </row>
    <row r="334" spans="1:9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  <c r="F334" t="s">
        <v>149</v>
      </c>
      <c r="G334" s="7">
        <v>129</v>
      </c>
      <c r="H334" s="7">
        <v>16373</v>
      </c>
      <c r="I334" s="7">
        <v>15223</v>
      </c>
    </row>
    <row r="335" spans="1:9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  <c r="F335" t="s">
        <v>92</v>
      </c>
      <c r="G335" s="7">
        <v>10</v>
      </c>
      <c r="H335" s="7">
        <v>677</v>
      </c>
      <c r="I335" s="7">
        <v>591</v>
      </c>
    </row>
    <row r="336" spans="1:9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  <c r="F336" t="s">
        <v>463</v>
      </c>
      <c r="G336" s="7">
        <v>36</v>
      </c>
      <c r="H336" s="7">
        <v>4857</v>
      </c>
      <c r="I336" s="7">
        <v>4456</v>
      </c>
    </row>
    <row r="337" spans="1:9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  <c r="F337" t="s">
        <v>423</v>
      </c>
      <c r="G337" s="7">
        <v>31</v>
      </c>
      <c r="H337" s="7">
        <v>5965</v>
      </c>
      <c r="I337" s="7">
        <v>5533</v>
      </c>
    </row>
    <row r="338" spans="1:9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  <c r="F338" t="s">
        <v>471</v>
      </c>
      <c r="G338" s="7">
        <v>21</v>
      </c>
      <c r="H338" s="7">
        <v>2861</v>
      </c>
      <c r="I338" s="7">
        <v>2612</v>
      </c>
    </row>
    <row r="339" spans="1:9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  <c r="F339" t="s">
        <v>411</v>
      </c>
      <c r="G339" s="7">
        <v>21</v>
      </c>
      <c r="H339" s="7">
        <v>2046</v>
      </c>
      <c r="I339" s="7">
        <v>1853</v>
      </c>
    </row>
    <row r="340" spans="1:9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  <c r="F340" t="s">
        <v>495</v>
      </c>
      <c r="G340" s="7">
        <v>19</v>
      </c>
      <c r="H340" s="7">
        <v>1859</v>
      </c>
      <c r="I340" s="7">
        <v>1697</v>
      </c>
    </row>
    <row r="341" spans="1:9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  <c r="F341" t="s">
        <v>511</v>
      </c>
      <c r="G341" s="7">
        <v>54</v>
      </c>
      <c r="H341" s="7">
        <v>13014</v>
      </c>
      <c r="I341" s="7">
        <v>12095</v>
      </c>
    </row>
    <row r="342" spans="1:9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  <c r="F342" t="s">
        <v>504</v>
      </c>
      <c r="G342" s="7">
        <v>60</v>
      </c>
      <c r="H342" s="7">
        <v>14050</v>
      </c>
      <c r="I342" s="7">
        <v>13027</v>
      </c>
    </row>
    <row r="343" spans="1:9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  <c r="F343" t="s">
        <v>440</v>
      </c>
      <c r="G343" s="7">
        <v>20</v>
      </c>
      <c r="H343" s="7">
        <v>2306</v>
      </c>
      <c r="I343" s="7">
        <v>2054</v>
      </c>
    </row>
    <row r="344" spans="1:9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  <c r="F344" t="s">
        <v>520</v>
      </c>
      <c r="G344" s="7">
        <v>18</v>
      </c>
      <c r="H344" s="7">
        <v>985</v>
      </c>
      <c r="I344" s="7">
        <v>861</v>
      </c>
    </row>
    <row r="345" spans="1:9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  <c r="F345" t="s">
        <v>480</v>
      </c>
      <c r="G345" s="7">
        <v>17</v>
      </c>
      <c r="H345" s="7">
        <v>1268</v>
      </c>
      <c r="I345" s="7">
        <v>1129</v>
      </c>
    </row>
    <row r="346" spans="1:9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  <c r="F346" t="s">
        <v>487</v>
      </c>
      <c r="G346" s="7">
        <v>15</v>
      </c>
      <c r="H346" s="7">
        <v>903</v>
      </c>
      <c r="I346" s="7">
        <v>792</v>
      </c>
    </row>
    <row r="347" spans="1:9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  <c r="F347" t="s">
        <v>455</v>
      </c>
      <c r="G347" s="7">
        <v>125</v>
      </c>
      <c r="H347" s="7">
        <v>21427</v>
      </c>
      <c r="I347" s="7">
        <v>19799</v>
      </c>
    </row>
    <row r="348" spans="1:9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  <c r="F348" t="s">
        <v>448</v>
      </c>
      <c r="G348" s="7">
        <v>129</v>
      </c>
      <c r="H348" s="7">
        <v>17088</v>
      </c>
      <c r="I348" s="7">
        <v>15804</v>
      </c>
    </row>
    <row r="349" spans="1:9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  <c r="F349" t="s">
        <v>431</v>
      </c>
      <c r="G349" s="7">
        <v>10</v>
      </c>
      <c r="H349" s="7">
        <v>965</v>
      </c>
      <c r="I349" s="7">
        <v>861</v>
      </c>
    </row>
    <row r="350" spans="1:9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  <c r="F350" t="s">
        <v>209</v>
      </c>
      <c r="G350" s="7">
        <v>36</v>
      </c>
      <c r="H350" s="7">
        <v>5651</v>
      </c>
      <c r="I350" s="7">
        <v>5212</v>
      </c>
    </row>
    <row r="351" spans="1:9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  <c r="F351" t="s">
        <v>75</v>
      </c>
      <c r="G351" s="7">
        <v>31</v>
      </c>
      <c r="H351" s="7">
        <v>6276</v>
      </c>
      <c r="I351" s="7">
        <v>5801</v>
      </c>
    </row>
    <row r="352" spans="1:9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  <c r="F352" t="s">
        <v>236</v>
      </c>
      <c r="G352" s="7">
        <v>21</v>
      </c>
      <c r="H352" s="7">
        <v>2460</v>
      </c>
      <c r="I352" s="7">
        <v>2226</v>
      </c>
    </row>
    <row r="353" spans="1:9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  <c r="F353" t="s">
        <v>48</v>
      </c>
      <c r="G353" s="7">
        <v>21</v>
      </c>
      <c r="H353" s="7">
        <v>2340</v>
      </c>
      <c r="I353" s="7">
        <v>2146</v>
      </c>
    </row>
    <row r="354" spans="1:9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  <c r="F354" t="s">
        <v>315</v>
      </c>
      <c r="G354" s="7">
        <v>19</v>
      </c>
      <c r="H354" s="7">
        <v>2195</v>
      </c>
      <c r="I354" s="7">
        <v>1999</v>
      </c>
    </row>
    <row r="355" spans="1:9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  <c r="F355" t="s">
        <v>369</v>
      </c>
      <c r="G355" s="7">
        <v>54</v>
      </c>
      <c r="H355" s="7">
        <v>16221</v>
      </c>
      <c r="I355" s="7">
        <v>15065</v>
      </c>
    </row>
    <row r="356" spans="1:9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  <c r="F356" t="s">
        <v>345</v>
      </c>
      <c r="G356" s="7">
        <v>60</v>
      </c>
      <c r="H356" s="7">
        <v>17295</v>
      </c>
      <c r="I356" s="7">
        <v>16010</v>
      </c>
    </row>
    <row r="357" spans="1:9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  <c r="F357" t="s">
        <v>129</v>
      </c>
      <c r="G357" s="7">
        <v>20</v>
      </c>
      <c r="H357" s="7">
        <v>2266</v>
      </c>
      <c r="I357" s="7">
        <v>1993</v>
      </c>
    </row>
    <row r="358" spans="1:9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  <c r="F358" t="s">
        <v>397</v>
      </c>
      <c r="G358" s="7">
        <v>18</v>
      </c>
      <c r="H358" s="7">
        <v>1031</v>
      </c>
      <c r="I358" s="7">
        <v>918</v>
      </c>
    </row>
    <row r="359" spans="1:9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  <c r="F359" t="s">
        <v>264</v>
      </c>
      <c r="G359" s="7">
        <v>17</v>
      </c>
      <c r="H359" s="7">
        <v>1294</v>
      </c>
      <c r="I359" s="7">
        <v>1155</v>
      </c>
    </row>
    <row r="360" spans="1:9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  <c r="F360" t="s">
        <v>290</v>
      </c>
      <c r="G360" s="7">
        <v>15</v>
      </c>
      <c r="H360" s="7">
        <v>840</v>
      </c>
      <c r="I360" s="7">
        <v>725</v>
      </c>
    </row>
    <row r="361" spans="1:9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  <c r="F361" t="s">
        <v>182</v>
      </c>
      <c r="G361" s="7">
        <v>125</v>
      </c>
      <c r="H361" s="7">
        <v>24574</v>
      </c>
      <c r="I361" s="7">
        <v>22609</v>
      </c>
    </row>
    <row r="362" spans="1:9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  <c r="F362" t="s">
        <v>156</v>
      </c>
      <c r="G362" s="7">
        <v>129</v>
      </c>
      <c r="H362" s="7">
        <v>19856</v>
      </c>
      <c r="I362" s="7">
        <v>18325</v>
      </c>
    </row>
    <row r="363" spans="1:9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  <c r="F363" t="s">
        <v>101</v>
      </c>
      <c r="G363" s="7">
        <v>10</v>
      </c>
      <c r="H363" s="7">
        <v>828</v>
      </c>
      <c r="I363" s="7">
        <v>734</v>
      </c>
    </row>
    <row r="364" spans="1:9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  <c r="F364" t="s">
        <v>216</v>
      </c>
      <c r="G364" s="7">
        <v>36</v>
      </c>
      <c r="H364" s="7">
        <v>4915</v>
      </c>
      <c r="I364" s="7">
        <v>4562</v>
      </c>
    </row>
    <row r="365" spans="1:9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  <c r="F365" t="s">
        <v>81</v>
      </c>
      <c r="G365" s="7">
        <v>31</v>
      </c>
      <c r="H365" s="7">
        <v>5035</v>
      </c>
      <c r="I365" s="7">
        <v>4683</v>
      </c>
    </row>
    <row r="366" spans="1:9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  <c r="F366" t="s">
        <v>243</v>
      </c>
      <c r="G366" s="7">
        <v>21</v>
      </c>
      <c r="H366" s="7">
        <v>2254</v>
      </c>
      <c r="I366" s="7">
        <v>2061</v>
      </c>
    </row>
    <row r="367" spans="1:9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  <c r="F367" t="s">
        <v>54</v>
      </c>
      <c r="G367" s="7">
        <v>20</v>
      </c>
      <c r="H367" s="7">
        <v>1999</v>
      </c>
      <c r="I367" s="7">
        <v>1829</v>
      </c>
    </row>
    <row r="368" spans="1:9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  <c r="F368" t="s">
        <v>322</v>
      </c>
      <c r="G368" s="7">
        <v>19</v>
      </c>
      <c r="H368" s="7">
        <v>1868</v>
      </c>
      <c r="I368" s="7">
        <v>1706</v>
      </c>
    </row>
    <row r="369" spans="1:9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  <c r="F369" t="s">
        <v>376</v>
      </c>
      <c r="G369" s="7">
        <v>54</v>
      </c>
      <c r="H369" s="7">
        <v>12211</v>
      </c>
      <c r="I369" s="7">
        <v>11427</v>
      </c>
    </row>
    <row r="370" spans="1:9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  <c r="F370" t="s">
        <v>351</v>
      </c>
      <c r="G370" s="7">
        <v>60</v>
      </c>
      <c r="H370" s="7">
        <v>12822</v>
      </c>
      <c r="I370" s="7">
        <v>11916</v>
      </c>
    </row>
    <row r="371" spans="1:9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  <c r="F371" t="s">
        <v>135</v>
      </c>
      <c r="G371" s="7">
        <v>20</v>
      </c>
      <c r="H371" s="7">
        <v>2015</v>
      </c>
      <c r="I371" s="7">
        <v>1803</v>
      </c>
    </row>
    <row r="372" spans="1:9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  <c r="F372" t="s">
        <v>403</v>
      </c>
      <c r="G372" s="7">
        <v>18</v>
      </c>
      <c r="H372" s="7">
        <v>1006</v>
      </c>
      <c r="I372" s="7">
        <v>904</v>
      </c>
    </row>
    <row r="373" spans="1:9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  <c r="F373" t="s">
        <v>270</v>
      </c>
      <c r="G373" s="7">
        <v>17</v>
      </c>
      <c r="H373" s="7">
        <v>1128</v>
      </c>
      <c r="I373" s="7">
        <v>1001</v>
      </c>
    </row>
    <row r="374" spans="1:9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  <c r="F374" t="s">
        <v>297</v>
      </c>
      <c r="G374" s="7">
        <v>15</v>
      </c>
      <c r="H374" s="7">
        <v>779</v>
      </c>
      <c r="I374" s="7">
        <v>673</v>
      </c>
    </row>
    <row r="375" spans="1:9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  <c r="F375" t="s">
        <v>189</v>
      </c>
      <c r="G375" s="7">
        <v>125</v>
      </c>
      <c r="H375" s="7">
        <v>21004</v>
      </c>
      <c r="I375" s="7">
        <v>19556</v>
      </c>
    </row>
    <row r="376" spans="1:9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  <c r="F376" t="s">
        <v>162</v>
      </c>
      <c r="G376" s="7">
        <v>129</v>
      </c>
      <c r="H376" s="7">
        <v>16432</v>
      </c>
      <c r="I376" s="7">
        <v>15345</v>
      </c>
    </row>
    <row r="377" spans="1:9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  <c r="F377" t="s">
        <v>108</v>
      </c>
      <c r="G377" s="7">
        <v>10</v>
      </c>
      <c r="H377" s="7">
        <v>639</v>
      </c>
      <c r="I377" s="7">
        <v>557</v>
      </c>
    </row>
    <row r="378" spans="1:9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  <c r="F378" t="s">
        <v>211</v>
      </c>
      <c r="G378" s="7">
        <v>36</v>
      </c>
      <c r="H378" s="7">
        <v>4641</v>
      </c>
      <c r="I378" s="7">
        <v>4274</v>
      </c>
    </row>
    <row r="379" spans="1:9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  <c r="F379" t="s">
        <v>76</v>
      </c>
      <c r="G379" s="7">
        <v>31</v>
      </c>
      <c r="H379" s="7">
        <v>5210</v>
      </c>
      <c r="I379" s="7">
        <v>4841</v>
      </c>
    </row>
    <row r="380" spans="1:9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  <c r="F380" t="s">
        <v>238</v>
      </c>
      <c r="G380" s="7">
        <v>21</v>
      </c>
      <c r="H380" s="7">
        <v>2330</v>
      </c>
      <c r="I380" s="7">
        <v>2142</v>
      </c>
    </row>
    <row r="381" spans="1:9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  <c r="F381" t="s">
        <v>49</v>
      </c>
      <c r="G381" s="7">
        <v>20</v>
      </c>
      <c r="H381" s="7">
        <v>2087</v>
      </c>
      <c r="I381" s="7">
        <v>1914</v>
      </c>
    </row>
    <row r="382" spans="1:9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  <c r="F382" t="s">
        <v>317</v>
      </c>
      <c r="G382" s="7">
        <v>20</v>
      </c>
      <c r="H382" s="7">
        <v>1899</v>
      </c>
      <c r="I382" s="7">
        <v>1738</v>
      </c>
    </row>
    <row r="383" spans="1:9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  <c r="F383" t="s">
        <v>371</v>
      </c>
      <c r="G383" s="7">
        <v>54</v>
      </c>
      <c r="H383" s="7">
        <v>12336</v>
      </c>
      <c r="I383" s="7">
        <v>11519</v>
      </c>
    </row>
    <row r="384" spans="1:9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  <c r="F384" t="s">
        <v>346</v>
      </c>
      <c r="G384" s="7">
        <v>59</v>
      </c>
      <c r="H384" s="7">
        <v>12983</v>
      </c>
      <c r="I384" s="7">
        <v>12056</v>
      </c>
    </row>
    <row r="385" spans="1:9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  <c r="F385" t="s">
        <v>130</v>
      </c>
      <c r="G385" s="7">
        <v>20</v>
      </c>
      <c r="H385" s="7">
        <v>2011</v>
      </c>
      <c r="I385" s="7">
        <v>1791</v>
      </c>
    </row>
    <row r="386" spans="1:9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  <c r="F386" t="s">
        <v>398</v>
      </c>
      <c r="G386" s="7">
        <v>18</v>
      </c>
      <c r="H386" s="7">
        <v>989</v>
      </c>
      <c r="I386" s="7">
        <v>887</v>
      </c>
    </row>
    <row r="387" spans="1:9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  <c r="F387" t="s">
        <v>265</v>
      </c>
      <c r="G387" s="7">
        <v>17</v>
      </c>
      <c r="H387" s="7">
        <v>1142</v>
      </c>
      <c r="I387" s="7">
        <v>1020</v>
      </c>
    </row>
    <row r="388" spans="1:9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  <c r="F388" t="s">
        <v>292</v>
      </c>
      <c r="G388" s="7">
        <v>15</v>
      </c>
      <c r="H388" s="7">
        <v>835</v>
      </c>
      <c r="I388" s="7">
        <v>736</v>
      </c>
    </row>
    <row r="389" spans="1:9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  <c r="F389" t="s">
        <v>184</v>
      </c>
      <c r="G389" s="7">
        <v>124</v>
      </c>
      <c r="H389" s="7">
        <v>20358</v>
      </c>
      <c r="I389" s="7">
        <v>18890</v>
      </c>
    </row>
    <row r="390" spans="1:9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  <c r="F390" t="s">
        <v>157</v>
      </c>
      <c r="G390" s="7">
        <v>129</v>
      </c>
      <c r="H390" s="7">
        <v>15822</v>
      </c>
      <c r="I390" s="7">
        <v>14753</v>
      </c>
    </row>
    <row r="391" spans="1:9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  <c r="F391" t="s">
        <v>103</v>
      </c>
      <c r="G391" s="7">
        <v>10</v>
      </c>
      <c r="H391" s="7">
        <v>739</v>
      </c>
      <c r="I391" s="7">
        <v>642</v>
      </c>
    </row>
    <row r="392" spans="1:9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  <c r="F392" t="s">
        <v>197</v>
      </c>
      <c r="G392" s="7">
        <v>36</v>
      </c>
      <c r="H392" s="7">
        <v>4770</v>
      </c>
      <c r="I392" s="7">
        <v>4424</v>
      </c>
    </row>
    <row r="393" spans="1:9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  <c r="F393" t="s">
        <v>65</v>
      </c>
      <c r="G393" s="7">
        <v>31</v>
      </c>
      <c r="H393" s="7">
        <v>5493</v>
      </c>
      <c r="I393" s="7">
        <v>5119</v>
      </c>
    </row>
    <row r="394" spans="1:9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  <c r="F394" t="s">
        <v>224</v>
      </c>
      <c r="G394" s="7">
        <v>21</v>
      </c>
      <c r="H394" s="7">
        <v>2418</v>
      </c>
      <c r="I394" s="7">
        <v>2215</v>
      </c>
    </row>
    <row r="395" spans="1:9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  <c r="F395" t="s">
        <v>38</v>
      </c>
      <c r="G395" s="7">
        <v>20</v>
      </c>
      <c r="H395" s="7">
        <v>2044</v>
      </c>
      <c r="I395" s="7">
        <v>1863</v>
      </c>
    </row>
    <row r="396" spans="1:9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  <c r="F396" t="s">
        <v>304</v>
      </c>
      <c r="G396" s="7">
        <v>20</v>
      </c>
      <c r="H396" s="7">
        <v>1814</v>
      </c>
      <c r="I396" s="7">
        <v>1655</v>
      </c>
    </row>
    <row r="397" spans="1:9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  <c r="F397" t="s">
        <v>358</v>
      </c>
      <c r="G397" s="7">
        <v>54</v>
      </c>
      <c r="H397" s="7">
        <v>14482</v>
      </c>
      <c r="I397" s="7">
        <v>13510</v>
      </c>
    </row>
    <row r="398" spans="1:9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  <c r="F398" t="s">
        <v>335</v>
      </c>
      <c r="G398" s="7">
        <v>59</v>
      </c>
      <c r="H398" s="7">
        <v>15369</v>
      </c>
      <c r="I398" s="7">
        <v>14299</v>
      </c>
    </row>
    <row r="399" spans="1:9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  <c r="F399" t="s">
        <v>119</v>
      </c>
      <c r="G399" s="7">
        <v>20</v>
      </c>
      <c r="H399" s="7">
        <v>2036</v>
      </c>
      <c r="I399" s="7">
        <v>1790</v>
      </c>
    </row>
    <row r="400" spans="1:9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  <c r="F400" t="s">
        <v>404</v>
      </c>
      <c r="G400" s="7">
        <v>18</v>
      </c>
      <c r="H400" s="7">
        <v>914</v>
      </c>
      <c r="I400" s="7">
        <v>804</v>
      </c>
    </row>
    <row r="401" spans="1:9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  <c r="F401" t="s">
        <v>254</v>
      </c>
      <c r="G401" s="7">
        <v>17</v>
      </c>
      <c r="H401" s="7">
        <v>1140</v>
      </c>
      <c r="I401" s="7">
        <v>1016</v>
      </c>
    </row>
    <row r="402" spans="1:9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  <c r="F402" t="s">
        <v>278</v>
      </c>
      <c r="G402" s="7">
        <v>15</v>
      </c>
      <c r="H402" s="7">
        <v>812</v>
      </c>
      <c r="I402" s="7">
        <v>711</v>
      </c>
    </row>
    <row r="403" spans="1:9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  <c r="F403" t="s">
        <v>170</v>
      </c>
      <c r="G403" s="7">
        <v>124</v>
      </c>
      <c r="H403" s="7">
        <v>21153</v>
      </c>
      <c r="I403" s="7">
        <v>19673</v>
      </c>
    </row>
    <row r="404" spans="1:9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  <c r="F404" t="s">
        <v>146</v>
      </c>
      <c r="G404" s="7">
        <v>129</v>
      </c>
      <c r="H404" s="7">
        <v>16459</v>
      </c>
      <c r="I404" s="7">
        <v>15355</v>
      </c>
    </row>
    <row r="405" spans="1:9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  <c r="F405" t="s">
        <v>89</v>
      </c>
      <c r="G405" s="7">
        <v>10</v>
      </c>
      <c r="H405" s="7">
        <v>692</v>
      </c>
      <c r="I405" s="7">
        <v>601</v>
      </c>
    </row>
    <row r="406" spans="1:9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  <c r="F406" t="s">
        <v>388</v>
      </c>
      <c r="G406" s="7">
        <v>7</v>
      </c>
      <c r="H406" s="7">
        <v>577</v>
      </c>
      <c r="I406" s="7">
        <v>389</v>
      </c>
    </row>
    <row r="407" spans="1:9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  <c r="F407" t="s">
        <v>462</v>
      </c>
      <c r="G407" s="7">
        <v>36</v>
      </c>
      <c r="H407" s="7">
        <v>4951</v>
      </c>
      <c r="I407" s="7">
        <v>4584</v>
      </c>
    </row>
    <row r="408" spans="1:9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  <c r="F408" t="s">
        <v>422</v>
      </c>
      <c r="G408" s="7">
        <v>31</v>
      </c>
      <c r="H408" s="7">
        <v>5330</v>
      </c>
      <c r="I408" s="7">
        <v>4977</v>
      </c>
    </row>
    <row r="409" spans="1:9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  <c r="F409" t="s">
        <v>470</v>
      </c>
      <c r="G409" s="7">
        <v>21</v>
      </c>
      <c r="H409" s="7">
        <v>2430</v>
      </c>
      <c r="I409" s="7">
        <v>2216</v>
      </c>
    </row>
    <row r="410" spans="1:9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  <c r="F410" t="s">
        <v>410</v>
      </c>
      <c r="G410" s="7">
        <v>20</v>
      </c>
      <c r="H410" s="7">
        <v>2079</v>
      </c>
      <c r="I410" s="7">
        <v>1893</v>
      </c>
    </row>
    <row r="411" spans="1:9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  <c r="F411" t="s">
        <v>494</v>
      </c>
      <c r="G411" s="7">
        <v>20</v>
      </c>
      <c r="H411" s="7">
        <v>1873</v>
      </c>
      <c r="I411" s="7">
        <v>1715</v>
      </c>
    </row>
    <row r="412" spans="1:9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  <c r="F412" t="s">
        <v>510</v>
      </c>
      <c r="G412" s="7">
        <v>54</v>
      </c>
      <c r="H412" s="7">
        <v>13091</v>
      </c>
      <c r="I412" s="7">
        <v>12216</v>
      </c>
    </row>
    <row r="413" spans="1:9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  <c r="F413" t="s">
        <v>503</v>
      </c>
      <c r="G413" s="7">
        <v>59</v>
      </c>
      <c r="H413" s="7">
        <v>13942</v>
      </c>
      <c r="I413" s="7">
        <v>12986</v>
      </c>
    </row>
    <row r="414" spans="1:9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  <c r="F414" t="s">
        <v>439</v>
      </c>
      <c r="G414" s="7">
        <v>20</v>
      </c>
      <c r="H414" s="7">
        <v>2079</v>
      </c>
      <c r="I414" s="7">
        <v>1856</v>
      </c>
    </row>
    <row r="415" spans="1:9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  <c r="F415" t="s">
        <v>526</v>
      </c>
      <c r="G415" s="7">
        <v>18</v>
      </c>
      <c r="H415" s="7">
        <v>962</v>
      </c>
      <c r="I415" s="7">
        <v>859</v>
      </c>
    </row>
    <row r="416" spans="1:9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  <c r="F416" t="s">
        <v>479</v>
      </c>
      <c r="G416" s="7">
        <v>17</v>
      </c>
      <c r="H416" s="7">
        <v>1203</v>
      </c>
      <c r="I416" s="7">
        <v>1077</v>
      </c>
    </row>
    <row r="417" spans="1:9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  <c r="F417" t="s">
        <v>486</v>
      </c>
      <c r="G417" s="7">
        <v>15</v>
      </c>
      <c r="H417" s="7">
        <v>809</v>
      </c>
      <c r="I417" s="7">
        <v>702</v>
      </c>
    </row>
    <row r="418" spans="1:9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  <c r="F418" t="s">
        <v>454</v>
      </c>
      <c r="G418" s="7">
        <v>124</v>
      </c>
      <c r="H418" s="7">
        <v>21384</v>
      </c>
      <c r="I418" s="7">
        <v>19897</v>
      </c>
    </row>
    <row r="419" spans="1:9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  <c r="F419" t="s">
        <v>447</v>
      </c>
      <c r="G419" s="7">
        <v>129</v>
      </c>
      <c r="H419" s="7">
        <v>17115</v>
      </c>
      <c r="I419" s="7">
        <v>15962</v>
      </c>
    </row>
    <row r="420" spans="1:9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  <c r="F420" t="s">
        <v>430</v>
      </c>
      <c r="G420" s="7">
        <v>10</v>
      </c>
      <c r="H420" s="7">
        <v>757</v>
      </c>
      <c r="I420" s="7">
        <v>660</v>
      </c>
    </row>
    <row r="421" spans="1:9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  <c r="F421" t="s">
        <v>519</v>
      </c>
      <c r="G421" s="7">
        <v>7</v>
      </c>
      <c r="H421" s="7">
        <v>409</v>
      </c>
      <c r="I421" s="7">
        <v>329</v>
      </c>
    </row>
    <row r="422" spans="1:9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  <c r="F422" t="s">
        <v>237</v>
      </c>
      <c r="G422" s="7">
        <v>37</v>
      </c>
      <c r="H422" s="7">
        <v>4840</v>
      </c>
      <c r="I422" s="7">
        <v>4475</v>
      </c>
    </row>
    <row r="423" spans="1:9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  <c r="F423" t="s">
        <v>102</v>
      </c>
      <c r="G423" s="7">
        <v>31</v>
      </c>
      <c r="H423" s="7">
        <v>5355</v>
      </c>
      <c r="I423" s="7">
        <v>4969</v>
      </c>
    </row>
    <row r="424" spans="1:9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  <c r="F424" t="s">
        <v>246</v>
      </c>
      <c r="G424" s="7">
        <v>22</v>
      </c>
      <c r="H424" s="7">
        <v>2454</v>
      </c>
      <c r="I424" s="7">
        <v>2239</v>
      </c>
    </row>
    <row r="425" spans="1:9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  <c r="F425" t="s">
        <v>57</v>
      </c>
      <c r="G425" s="7">
        <v>20</v>
      </c>
      <c r="H425" s="7">
        <v>1886</v>
      </c>
      <c r="I425" s="7">
        <v>1736</v>
      </c>
    </row>
    <row r="426" spans="1:9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  <c r="F426" t="s">
        <v>327</v>
      </c>
      <c r="G426" s="7">
        <v>20</v>
      </c>
      <c r="H426" s="7">
        <v>1875</v>
      </c>
      <c r="I426" s="7">
        <v>1701</v>
      </c>
    </row>
    <row r="427" spans="1:9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  <c r="F427" t="s">
        <v>381</v>
      </c>
      <c r="G427" s="7">
        <v>54</v>
      </c>
      <c r="H427" s="7">
        <v>12409</v>
      </c>
      <c r="I427" s="7">
        <v>11582</v>
      </c>
    </row>
    <row r="428" spans="1:9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  <c r="F428" t="s">
        <v>370</v>
      </c>
      <c r="G428" s="7">
        <v>60</v>
      </c>
      <c r="H428" s="7">
        <v>12854</v>
      </c>
      <c r="I428" s="7">
        <v>11954</v>
      </c>
    </row>
    <row r="429" spans="1:9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  <c r="F429" t="s">
        <v>138</v>
      </c>
      <c r="G429" s="7">
        <v>20</v>
      </c>
      <c r="H429" s="7">
        <v>2088</v>
      </c>
      <c r="I429" s="7">
        <v>1848</v>
      </c>
    </row>
    <row r="430" spans="1:9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  <c r="F430" t="s">
        <v>415</v>
      </c>
      <c r="G430" s="7">
        <v>18</v>
      </c>
      <c r="H430" s="7">
        <v>1020</v>
      </c>
      <c r="I430" s="7">
        <v>911</v>
      </c>
    </row>
    <row r="431" spans="1:9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  <c r="F431" t="s">
        <v>291</v>
      </c>
      <c r="G431" s="7">
        <v>17</v>
      </c>
      <c r="H431" s="7">
        <v>1097</v>
      </c>
      <c r="I431" s="7">
        <v>968</v>
      </c>
    </row>
    <row r="432" spans="1:9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  <c r="F432" t="s">
        <v>316</v>
      </c>
      <c r="G432" s="7">
        <v>16</v>
      </c>
      <c r="H432" s="7">
        <v>876</v>
      </c>
      <c r="I432" s="7">
        <v>762</v>
      </c>
    </row>
    <row r="433" spans="1:9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  <c r="F433" t="s">
        <v>30</v>
      </c>
      <c r="G433" s="7">
        <v>15</v>
      </c>
      <c r="H433" s="7">
        <v>464</v>
      </c>
      <c r="I433" s="7">
        <v>390</v>
      </c>
    </row>
    <row r="434" spans="1:9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  <c r="F434" t="s">
        <v>210</v>
      </c>
      <c r="G434" s="7">
        <v>124</v>
      </c>
      <c r="H434" s="7">
        <v>20868</v>
      </c>
      <c r="I434" s="7">
        <v>19342</v>
      </c>
    </row>
    <row r="435" spans="1:9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  <c r="F435" t="s">
        <v>183</v>
      </c>
      <c r="G435" s="7">
        <v>129</v>
      </c>
      <c r="H435" s="7">
        <v>16453</v>
      </c>
      <c r="I435" s="7">
        <v>15289</v>
      </c>
    </row>
    <row r="436" spans="1:9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  <c r="F436" t="s">
        <v>111</v>
      </c>
      <c r="G436" s="7">
        <v>10</v>
      </c>
      <c r="H436" s="7">
        <v>791</v>
      </c>
      <c r="I436" s="7">
        <v>697</v>
      </c>
    </row>
    <row r="437" spans="1:9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  <c r="F437" t="s">
        <v>409</v>
      </c>
      <c r="G437" s="7">
        <v>7</v>
      </c>
      <c r="H437" s="7">
        <v>420</v>
      </c>
      <c r="I437" s="7">
        <v>347</v>
      </c>
    </row>
    <row r="438" spans="1:9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  <c r="F438" t="s">
        <v>474</v>
      </c>
      <c r="G438" s="7">
        <v>37</v>
      </c>
      <c r="H438" s="7">
        <v>5672</v>
      </c>
      <c r="I438" s="7">
        <v>5198</v>
      </c>
    </row>
    <row r="439" spans="1:9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  <c r="F439" t="s">
        <v>434</v>
      </c>
      <c r="G439" s="7">
        <v>31</v>
      </c>
      <c r="H439" s="7">
        <v>5751</v>
      </c>
      <c r="I439" s="7">
        <v>5319</v>
      </c>
    </row>
    <row r="440" spans="1:9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  <c r="F440" t="s">
        <v>478</v>
      </c>
      <c r="G440" s="7">
        <v>22</v>
      </c>
      <c r="H440" s="7">
        <v>2597</v>
      </c>
      <c r="I440" s="7">
        <v>2379</v>
      </c>
    </row>
    <row r="441" spans="1:9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  <c r="F441" t="s">
        <v>421</v>
      </c>
      <c r="G441" s="7">
        <v>20</v>
      </c>
      <c r="H441" s="7">
        <v>2111</v>
      </c>
      <c r="I441" s="7">
        <v>1917</v>
      </c>
    </row>
    <row r="442" spans="1:9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  <c r="F442" t="s">
        <v>502</v>
      </c>
      <c r="G442" s="7">
        <v>20</v>
      </c>
      <c r="H442" s="7">
        <v>2064</v>
      </c>
      <c r="I442" s="7">
        <v>1896</v>
      </c>
    </row>
    <row r="443" spans="1:9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  <c r="F443" t="s">
        <v>518</v>
      </c>
      <c r="G443" s="7">
        <v>54</v>
      </c>
      <c r="H443" s="7">
        <v>14031</v>
      </c>
      <c r="I443" s="7">
        <v>12943</v>
      </c>
    </row>
    <row r="444" spans="1:9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  <c r="F444" t="s">
        <v>514</v>
      </c>
      <c r="G444" s="7">
        <v>59</v>
      </c>
      <c r="H444" s="7">
        <v>14507</v>
      </c>
      <c r="I444" s="7">
        <v>13386</v>
      </c>
    </row>
    <row r="445" spans="1:9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  <c r="F445" t="s">
        <v>446</v>
      </c>
      <c r="G445" s="7">
        <v>20</v>
      </c>
      <c r="H445" s="7">
        <v>2249</v>
      </c>
      <c r="I445" s="7">
        <v>2000</v>
      </c>
    </row>
    <row r="446" spans="1:9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  <c r="F446" t="s">
        <v>530</v>
      </c>
      <c r="G446" s="7">
        <v>18</v>
      </c>
      <c r="H446" s="7">
        <v>1014</v>
      </c>
      <c r="I446" s="7">
        <v>893</v>
      </c>
    </row>
    <row r="447" spans="1:9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  <c r="F447" t="s">
        <v>490</v>
      </c>
      <c r="G447" s="7">
        <v>17</v>
      </c>
      <c r="H447" s="7">
        <v>1296</v>
      </c>
      <c r="I447" s="7">
        <v>1153</v>
      </c>
    </row>
    <row r="448" spans="1:9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  <c r="F448" t="s">
        <v>498</v>
      </c>
      <c r="G448" s="7">
        <v>16</v>
      </c>
      <c r="H448" s="7">
        <v>981</v>
      </c>
      <c r="I448" s="7">
        <v>859</v>
      </c>
    </row>
    <row r="449" spans="1:9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  <c r="F449" t="s">
        <v>408</v>
      </c>
      <c r="G449" s="7">
        <v>15</v>
      </c>
      <c r="H449" s="7">
        <v>400</v>
      </c>
      <c r="I449" s="7">
        <v>329</v>
      </c>
    </row>
    <row r="450" spans="1:9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  <c r="F450" t="s">
        <v>466</v>
      </c>
      <c r="G450" s="7">
        <v>124</v>
      </c>
      <c r="H450" s="7">
        <v>25828</v>
      </c>
      <c r="I450" s="7">
        <v>23974</v>
      </c>
    </row>
    <row r="451" spans="1:9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  <c r="F451" t="s">
        <v>458</v>
      </c>
      <c r="G451" s="7">
        <v>129</v>
      </c>
      <c r="H451" s="7">
        <v>22403</v>
      </c>
      <c r="I451" s="7">
        <v>20676</v>
      </c>
    </row>
    <row r="452" spans="1:9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  <c r="F452" t="s">
        <v>438</v>
      </c>
      <c r="G452" s="7">
        <v>10</v>
      </c>
      <c r="H452" s="7">
        <v>873</v>
      </c>
      <c r="I452" s="7">
        <v>770</v>
      </c>
    </row>
    <row r="453" spans="1:9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  <c r="F453" t="s">
        <v>528</v>
      </c>
      <c r="G453" s="7">
        <v>7</v>
      </c>
      <c r="H453" s="7">
        <v>491</v>
      </c>
      <c r="I453" s="7">
        <v>411</v>
      </c>
    </row>
    <row r="454" spans="1:9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  <c r="F454" t="s">
        <v>234</v>
      </c>
      <c r="G454" s="7">
        <v>37</v>
      </c>
      <c r="H454" s="7">
        <v>6645</v>
      </c>
      <c r="I454" s="7">
        <v>6122</v>
      </c>
    </row>
    <row r="455" spans="1:9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  <c r="F455" t="s">
        <v>99</v>
      </c>
      <c r="G455" s="7">
        <v>31</v>
      </c>
      <c r="H455" s="7">
        <v>6735</v>
      </c>
      <c r="I455" s="7">
        <v>6264</v>
      </c>
    </row>
    <row r="456" spans="1:9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  <c r="F456" t="s">
        <v>245</v>
      </c>
      <c r="G456" s="7">
        <v>22</v>
      </c>
      <c r="H456" s="7">
        <v>2793</v>
      </c>
      <c r="I456" s="7">
        <v>2539</v>
      </c>
    </row>
    <row r="457" spans="1:9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  <c r="F457" t="s">
        <v>56</v>
      </c>
      <c r="G457" s="7">
        <v>20</v>
      </c>
      <c r="H457" s="7">
        <v>2597</v>
      </c>
      <c r="I457" s="7">
        <v>2376</v>
      </c>
    </row>
    <row r="458" spans="1:9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  <c r="F458" t="s">
        <v>326</v>
      </c>
      <c r="G458" s="7">
        <v>20</v>
      </c>
      <c r="H458" s="7">
        <v>2174</v>
      </c>
      <c r="I458" s="7">
        <v>1957</v>
      </c>
    </row>
    <row r="459" spans="1:9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  <c r="F459" t="s">
        <v>380</v>
      </c>
      <c r="G459" s="7">
        <v>54</v>
      </c>
      <c r="H459" s="7">
        <v>14590</v>
      </c>
      <c r="I459" s="7">
        <v>13551</v>
      </c>
    </row>
    <row r="460" spans="1:9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  <c r="F460" t="s">
        <v>367</v>
      </c>
      <c r="G460" s="7">
        <v>59</v>
      </c>
      <c r="H460" s="7">
        <v>15030</v>
      </c>
      <c r="I460" s="7">
        <v>13956</v>
      </c>
    </row>
    <row r="461" spans="1:9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  <c r="F461" t="s">
        <v>137</v>
      </c>
      <c r="G461" s="7">
        <v>20</v>
      </c>
      <c r="H461" s="7">
        <v>2451</v>
      </c>
      <c r="I461" s="7">
        <v>2178</v>
      </c>
    </row>
    <row r="462" spans="1:9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  <c r="F462" t="s">
        <v>414</v>
      </c>
      <c r="G462" s="7">
        <v>18</v>
      </c>
      <c r="H462" s="7">
        <v>1216</v>
      </c>
      <c r="I462" s="7">
        <v>1101</v>
      </c>
    </row>
    <row r="463" spans="1:9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  <c r="F463" t="s">
        <v>288</v>
      </c>
      <c r="G463" s="7">
        <v>17</v>
      </c>
      <c r="H463" s="7">
        <v>1697</v>
      </c>
      <c r="I463" s="7">
        <v>1499</v>
      </c>
    </row>
    <row r="464" spans="1:9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  <c r="F464" t="s">
        <v>313</v>
      </c>
      <c r="G464" s="7">
        <v>16</v>
      </c>
      <c r="H464" s="7">
        <v>1048</v>
      </c>
      <c r="I464" s="7">
        <v>918</v>
      </c>
    </row>
    <row r="465" spans="1:9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  <c r="F465" t="s">
        <v>29</v>
      </c>
      <c r="G465" s="7">
        <v>15</v>
      </c>
      <c r="H465" s="7">
        <v>490</v>
      </c>
      <c r="I465" s="7">
        <v>409</v>
      </c>
    </row>
    <row r="466" spans="1:9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  <c r="F466" t="s">
        <v>207</v>
      </c>
      <c r="G466" s="7">
        <v>124</v>
      </c>
      <c r="H466" s="7">
        <v>24325</v>
      </c>
      <c r="I466" s="7">
        <v>22469</v>
      </c>
    </row>
    <row r="467" spans="1:9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  <c r="F467" t="s">
        <v>180</v>
      </c>
      <c r="G467" s="7">
        <v>129</v>
      </c>
      <c r="H467" s="7">
        <v>20243</v>
      </c>
      <c r="I467" s="7">
        <v>18711</v>
      </c>
    </row>
    <row r="468" spans="1:9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  <c r="F468" t="s">
        <v>110</v>
      </c>
      <c r="G468" s="7">
        <v>10</v>
      </c>
      <c r="H468" s="7">
        <v>865</v>
      </c>
      <c r="I468" s="7">
        <v>763</v>
      </c>
    </row>
    <row r="469" spans="1:9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  <c r="F469" t="s">
        <v>407</v>
      </c>
      <c r="G469" s="7">
        <v>7</v>
      </c>
      <c r="H469" s="7">
        <v>532</v>
      </c>
      <c r="I469" s="7">
        <v>449</v>
      </c>
    </row>
    <row r="470" spans="1:9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  <c r="F470" t="s">
        <v>232</v>
      </c>
      <c r="G470" s="7">
        <v>37</v>
      </c>
      <c r="H470" s="7">
        <v>5215</v>
      </c>
      <c r="I470" s="7">
        <v>4848</v>
      </c>
    </row>
    <row r="471" spans="1:9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  <c r="F471" t="s">
        <v>97</v>
      </c>
      <c r="G471" s="7">
        <v>31</v>
      </c>
      <c r="H471" s="7">
        <v>5760</v>
      </c>
      <c r="I471" s="7">
        <v>5367</v>
      </c>
    </row>
    <row r="472" spans="1:9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  <c r="F472" t="s">
        <v>244</v>
      </c>
      <c r="G472" s="7">
        <v>23</v>
      </c>
      <c r="H472" s="7">
        <v>2522</v>
      </c>
      <c r="I472" s="7">
        <v>2295</v>
      </c>
    </row>
    <row r="473" spans="1:9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  <c r="F473" t="s">
        <v>55</v>
      </c>
      <c r="G473" s="7">
        <v>21</v>
      </c>
      <c r="H473" s="7">
        <v>2271</v>
      </c>
      <c r="I473" s="7">
        <v>2085</v>
      </c>
    </row>
    <row r="474" spans="1:9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  <c r="F474" t="s">
        <v>325</v>
      </c>
      <c r="G474" s="7">
        <v>21</v>
      </c>
      <c r="H474" s="7">
        <v>2056</v>
      </c>
      <c r="I474" s="7">
        <v>1879</v>
      </c>
    </row>
    <row r="475" spans="1:9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  <c r="F475" t="s">
        <v>379</v>
      </c>
      <c r="G475" s="7">
        <v>54</v>
      </c>
      <c r="H475" s="7">
        <v>13106</v>
      </c>
      <c r="I475" s="7">
        <v>12164</v>
      </c>
    </row>
    <row r="476" spans="1:9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  <c r="F476" t="s">
        <v>365</v>
      </c>
      <c r="G476" s="7">
        <v>59</v>
      </c>
      <c r="H476" s="7">
        <v>13684</v>
      </c>
      <c r="I476" s="7">
        <v>12690</v>
      </c>
    </row>
    <row r="477" spans="1:9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  <c r="F477" t="s">
        <v>136</v>
      </c>
      <c r="G477" s="7">
        <v>20</v>
      </c>
      <c r="H477" s="7">
        <v>2060</v>
      </c>
      <c r="I477" s="7">
        <v>1826</v>
      </c>
    </row>
    <row r="478" spans="1:9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  <c r="F478" t="s">
        <v>425</v>
      </c>
      <c r="G478" s="7">
        <v>18</v>
      </c>
      <c r="H478" s="7">
        <v>1029</v>
      </c>
      <c r="I478" s="7">
        <v>925</v>
      </c>
    </row>
    <row r="479" spans="1:9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  <c r="F479" t="s">
        <v>286</v>
      </c>
      <c r="G479" s="7">
        <v>17</v>
      </c>
      <c r="H479" s="7">
        <v>1186</v>
      </c>
      <c r="I479" s="7">
        <v>1054</v>
      </c>
    </row>
    <row r="480" spans="1:9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  <c r="F480" t="s">
        <v>311</v>
      </c>
      <c r="G480" s="7">
        <v>16</v>
      </c>
      <c r="H480" s="7">
        <v>917</v>
      </c>
      <c r="I480" s="7">
        <v>802</v>
      </c>
    </row>
    <row r="481" spans="1:9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  <c r="F481" t="s">
        <v>28</v>
      </c>
      <c r="G481" s="7">
        <v>15</v>
      </c>
      <c r="H481" s="7">
        <v>441</v>
      </c>
      <c r="I481" s="7">
        <v>368</v>
      </c>
    </row>
    <row r="482" spans="1:9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  <c r="F482" t="s">
        <v>205</v>
      </c>
      <c r="G482" s="7">
        <v>124</v>
      </c>
      <c r="H482" s="7">
        <v>21392</v>
      </c>
      <c r="I482" s="7">
        <v>19869</v>
      </c>
    </row>
    <row r="483" spans="1:9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  <c r="F483" t="s">
        <v>178</v>
      </c>
      <c r="G483" s="7">
        <v>129</v>
      </c>
      <c r="H483" s="7">
        <v>17235</v>
      </c>
      <c r="I483" s="7">
        <v>16052</v>
      </c>
    </row>
    <row r="484" spans="1:9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  <c r="F484" t="s">
        <v>109</v>
      </c>
      <c r="G484" s="7">
        <v>10</v>
      </c>
      <c r="H484" s="7">
        <v>749</v>
      </c>
      <c r="I484" s="7">
        <v>655</v>
      </c>
    </row>
    <row r="485" spans="1:9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  <c r="F485" t="s">
        <v>406</v>
      </c>
      <c r="G485" s="7">
        <v>9</v>
      </c>
      <c r="H485" s="7">
        <v>345</v>
      </c>
      <c r="I485" s="7">
        <v>255</v>
      </c>
    </row>
    <row r="486" spans="1:9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  <c r="F486" t="s">
        <v>420</v>
      </c>
      <c r="G486" s="7">
        <v>7</v>
      </c>
      <c r="H486" s="7">
        <v>530</v>
      </c>
      <c r="I486" s="7">
        <v>447</v>
      </c>
    </row>
    <row r="487" spans="1:9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  <c r="F487" t="s">
        <v>412</v>
      </c>
      <c r="G487" s="7">
        <v>6</v>
      </c>
      <c r="H487" s="7">
        <v>261</v>
      </c>
      <c r="I487" s="7">
        <v>188</v>
      </c>
    </row>
    <row r="488" spans="1:9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  <c r="F488" t="s">
        <v>464</v>
      </c>
      <c r="G488" s="7">
        <v>37</v>
      </c>
      <c r="H488" s="7">
        <v>4722</v>
      </c>
      <c r="I488" s="7">
        <v>4352</v>
      </c>
    </row>
    <row r="489" spans="1:9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  <c r="F489" t="s">
        <v>424</v>
      </c>
      <c r="G489" s="7">
        <v>31</v>
      </c>
      <c r="H489" s="7">
        <v>5468</v>
      </c>
      <c r="I489" s="7">
        <v>5081</v>
      </c>
    </row>
    <row r="490" spans="1:9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  <c r="F490" t="s">
        <v>472</v>
      </c>
      <c r="G490" s="7">
        <v>23</v>
      </c>
      <c r="H490" s="7">
        <v>2531</v>
      </c>
      <c r="I490" s="7">
        <v>2296</v>
      </c>
    </row>
    <row r="491" spans="1:9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  <c r="F491" t="s">
        <v>419</v>
      </c>
      <c r="G491" s="7">
        <v>21</v>
      </c>
      <c r="H491" s="7">
        <v>2025</v>
      </c>
      <c r="I491" s="7">
        <v>1849</v>
      </c>
    </row>
    <row r="492" spans="1:9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  <c r="F492" t="s">
        <v>496</v>
      </c>
      <c r="G492" s="7">
        <v>21</v>
      </c>
      <c r="H492" s="7">
        <v>1879</v>
      </c>
      <c r="I492" s="7">
        <v>1720</v>
      </c>
    </row>
    <row r="493" spans="1:9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  <c r="F493" t="s">
        <v>512</v>
      </c>
      <c r="G493" s="7">
        <v>54</v>
      </c>
      <c r="H493" s="7">
        <v>11864</v>
      </c>
      <c r="I493" s="7">
        <v>11071</v>
      </c>
    </row>
    <row r="494" spans="1:9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  <c r="F494" t="s">
        <v>505</v>
      </c>
      <c r="G494" s="7">
        <v>59</v>
      </c>
      <c r="H494" s="7">
        <v>12299</v>
      </c>
      <c r="I494" s="7">
        <v>11448</v>
      </c>
    </row>
    <row r="495" spans="1:9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  <c r="F495" t="s">
        <v>441</v>
      </c>
      <c r="G495" s="7">
        <v>20</v>
      </c>
      <c r="H495" s="7">
        <v>2136</v>
      </c>
      <c r="I495" s="7">
        <v>1899</v>
      </c>
    </row>
    <row r="496" spans="1:9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  <c r="F496" t="s">
        <v>531</v>
      </c>
      <c r="G496" s="7">
        <v>18</v>
      </c>
      <c r="H496" s="7">
        <v>923</v>
      </c>
      <c r="I496" s="7">
        <v>824</v>
      </c>
    </row>
    <row r="497" spans="1:9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  <c r="F497" t="s">
        <v>481</v>
      </c>
      <c r="G497" s="7">
        <v>17</v>
      </c>
      <c r="H497" s="7">
        <v>1185</v>
      </c>
      <c r="I497" s="7">
        <v>1042</v>
      </c>
    </row>
    <row r="498" spans="1:9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  <c r="F498" t="s">
        <v>488</v>
      </c>
      <c r="G498" s="7">
        <v>16</v>
      </c>
      <c r="H498" s="7">
        <v>1019</v>
      </c>
      <c r="I498" s="7">
        <v>895</v>
      </c>
    </row>
    <row r="499" spans="1:9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  <c r="F499" t="s">
        <v>405</v>
      </c>
      <c r="G499" s="7">
        <v>15</v>
      </c>
      <c r="H499" s="7">
        <v>453</v>
      </c>
      <c r="I499" s="7">
        <v>370</v>
      </c>
    </row>
    <row r="500" spans="1:9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  <c r="F500" t="s">
        <v>456</v>
      </c>
      <c r="G500" s="7">
        <v>123</v>
      </c>
      <c r="H500" s="7">
        <v>20325</v>
      </c>
      <c r="I500" s="7">
        <v>18935</v>
      </c>
    </row>
    <row r="501" spans="1:9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  <c r="F501" t="s">
        <v>449</v>
      </c>
      <c r="G501" s="7">
        <v>128</v>
      </c>
      <c r="H501" s="7">
        <v>16285</v>
      </c>
      <c r="I501" s="7">
        <v>15130</v>
      </c>
    </row>
    <row r="502" spans="1:9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  <c r="F502" t="s">
        <v>432</v>
      </c>
      <c r="G502" s="7">
        <v>10</v>
      </c>
      <c r="H502" s="7">
        <v>719</v>
      </c>
      <c r="I502" s="7">
        <v>627</v>
      </c>
    </row>
    <row r="503" spans="1:9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  <c r="F503" t="s">
        <v>521</v>
      </c>
      <c r="G503" s="7">
        <v>9</v>
      </c>
      <c r="H503" s="7">
        <v>294</v>
      </c>
      <c r="I503" s="7">
        <v>224</v>
      </c>
    </row>
    <row r="504" spans="1:9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  <c r="F504" t="s">
        <v>529</v>
      </c>
      <c r="G504" s="7">
        <v>7</v>
      </c>
      <c r="H504" s="7">
        <v>500</v>
      </c>
      <c r="I504" s="7">
        <v>418</v>
      </c>
    </row>
    <row r="505" spans="1:9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  <c r="F505" t="s">
        <v>527</v>
      </c>
      <c r="G505" s="7">
        <v>6</v>
      </c>
      <c r="H505" s="7">
        <v>237</v>
      </c>
      <c r="I505" s="7">
        <v>175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Сводная Таблица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Madi Zhumabek</cp:lastModifiedBy>
  <dcterms:created xsi:type="dcterms:W3CDTF">2021-09-13T10:17:58Z</dcterms:created>
  <dcterms:modified xsi:type="dcterms:W3CDTF">2026-03-30T18:07:45Z</dcterms:modified>
</cp:coreProperties>
</file>